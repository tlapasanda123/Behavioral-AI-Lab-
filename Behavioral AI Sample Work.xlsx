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dontthinkso/Downloads/"/>
    </mc:Choice>
  </mc:AlternateContent>
  <xr:revisionPtr revIDLastSave="0" documentId="8_{8C8BFF00-0E36-4E41-A102-1CDC74CEEBE7}" xr6:coauthVersionLast="47" xr6:coauthVersionMax="47" xr10:uidLastSave="{00000000-0000-0000-0000-000000000000}"/>
  <bookViews>
    <workbookView xWindow="0" yWindow="660" windowWidth="29400" windowHeight="18460" xr2:uid="{7296A28A-38BA-4888-8BE8-61431202269C}"/>
  </bookViews>
  <sheets>
    <sheet name="in" sheetId="1" r:id="rId1"/>
  </sheets>
  <definedNames>
    <definedName name="_xlchart.v1.0" hidden="1">in!$A$60</definedName>
    <definedName name="_xlchart.v1.1" hidden="1">in!$A$61</definedName>
    <definedName name="_xlchart.v1.10" hidden="1">in!$B$63:$S$63</definedName>
    <definedName name="_xlchart.v1.11" hidden="1">in!$B$64:$S$64</definedName>
    <definedName name="_xlchart.v1.12" hidden="1">in!$B$65:$S$65</definedName>
    <definedName name="_xlchart.v1.13" hidden="1">in!$A$60</definedName>
    <definedName name="_xlchart.v1.14" hidden="1">in!$A$61</definedName>
    <definedName name="_xlchart.v1.15" hidden="1">in!$A$62</definedName>
    <definedName name="_xlchart.v1.16" hidden="1">in!$A$63</definedName>
    <definedName name="_xlchart.v1.17" hidden="1">in!$A$64</definedName>
    <definedName name="_xlchart.v1.18" hidden="1">in!$A$65</definedName>
    <definedName name="_xlchart.v1.19" hidden="1">in!$B$54:$S$59</definedName>
    <definedName name="_xlchart.v1.2" hidden="1">in!$A$62</definedName>
    <definedName name="_xlchart.v1.20" hidden="1">in!$B$60:$S$60</definedName>
    <definedName name="_xlchart.v1.21" hidden="1">in!$B$61:$S$61</definedName>
    <definedName name="_xlchart.v1.22" hidden="1">in!$B$62:$S$62</definedName>
    <definedName name="_xlchart.v1.23" hidden="1">in!$B$63:$S$63</definedName>
    <definedName name="_xlchart.v1.24" hidden="1">in!$B$64:$S$64</definedName>
    <definedName name="_xlchart.v1.25" hidden="1">in!$B$65:$S$65</definedName>
    <definedName name="_xlchart.v1.26" hidden="1">in!$A$60</definedName>
    <definedName name="_xlchart.v1.27" hidden="1">in!$A$61</definedName>
    <definedName name="_xlchart.v1.28" hidden="1">in!$A$62</definedName>
    <definedName name="_xlchart.v1.29" hidden="1">in!$A$63</definedName>
    <definedName name="_xlchart.v1.3" hidden="1">in!$A$63</definedName>
    <definedName name="_xlchart.v1.30" hidden="1">in!$A$64</definedName>
    <definedName name="_xlchart.v1.31" hidden="1">in!$A$65</definedName>
    <definedName name="_xlchart.v1.32" hidden="1">in!$B$54:$S$59</definedName>
    <definedName name="_xlchart.v1.33" hidden="1">in!$B$60:$S$60</definedName>
    <definedName name="_xlchart.v1.34" hidden="1">in!$B$61:$S$61</definedName>
    <definedName name="_xlchart.v1.35" hidden="1">in!$B$62:$S$62</definedName>
    <definedName name="_xlchart.v1.36" hidden="1">in!$B$63:$S$63</definedName>
    <definedName name="_xlchart.v1.37" hidden="1">in!$B$64:$S$64</definedName>
    <definedName name="_xlchart.v1.38" hidden="1">in!$B$65:$S$65</definedName>
    <definedName name="_xlchart.v1.4" hidden="1">in!$A$64</definedName>
    <definedName name="_xlchart.v1.5" hidden="1">in!$A$65</definedName>
    <definedName name="_xlchart.v1.6" hidden="1">in!$B$54:$S$59</definedName>
    <definedName name="_xlchart.v1.7" hidden="1">in!$B$60:$S$60</definedName>
    <definedName name="_xlchart.v1.8" hidden="1">in!$B$61:$S$61</definedName>
    <definedName name="_xlchart.v1.9" hidden="1">in!$B$62:$S$62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1" l="1"/>
  <c r="C60" i="1"/>
  <c r="D60" i="1"/>
  <c r="E60" i="1"/>
  <c r="I60" i="1"/>
  <c r="J60" i="1"/>
  <c r="K60" i="1"/>
  <c r="L60" i="1"/>
  <c r="P60" i="1"/>
  <c r="Q60" i="1"/>
  <c r="R60" i="1"/>
  <c r="S60" i="1"/>
  <c r="B61" i="1"/>
  <c r="C61" i="1"/>
  <c r="D61" i="1"/>
  <c r="E61" i="1"/>
  <c r="I61" i="1"/>
  <c r="J61" i="1"/>
  <c r="K61" i="1"/>
  <c r="L61" i="1"/>
  <c r="P61" i="1"/>
  <c r="Q61" i="1"/>
  <c r="R61" i="1"/>
  <c r="S61" i="1"/>
  <c r="B62" i="1"/>
  <c r="C62" i="1"/>
  <c r="D62" i="1"/>
  <c r="E62" i="1"/>
  <c r="I62" i="1"/>
  <c r="J62" i="1"/>
  <c r="K62" i="1"/>
  <c r="L62" i="1"/>
  <c r="P62" i="1"/>
  <c r="Q62" i="1"/>
  <c r="R62" i="1"/>
  <c r="S62" i="1"/>
  <c r="B63" i="1"/>
  <c r="C63" i="1"/>
  <c r="D63" i="1"/>
  <c r="E63" i="1"/>
  <c r="I63" i="1"/>
  <c r="J63" i="1"/>
  <c r="K63" i="1"/>
  <c r="L63" i="1"/>
  <c r="P63" i="1"/>
  <c r="Q63" i="1"/>
  <c r="R63" i="1"/>
  <c r="S63" i="1"/>
  <c r="B64" i="1"/>
  <c r="C64" i="1"/>
  <c r="D64" i="1"/>
  <c r="E64" i="1"/>
  <c r="I64" i="1"/>
  <c r="J64" i="1"/>
  <c r="K64" i="1"/>
  <c r="L64" i="1"/>
  <c r="P64" i="1"/>
  <c r="Q64" i="1"/>
  <c r="R64" i="1"/>
  <c r="S64" i="1"/>
  <c r="B65" i="1"/>
  <c r="C65" i="1"/>
  <c r="D65" i="1"/>
  <c r="E65" i="1"/>
  <c r="I65" i="1"/>
  <c r="J65" i="1"/>
  <c r="K65" i="1"/>
  <c r="L65" i="1"/>
  <c r="P65" i="1"/>
  <c r="Q65" i="1"/>
  <c r="R65" i="1"/>
  <c r="S65" i="1"/>
</calcChain>
</file>

<file path=xl/sharedStrings.xml><?xml version="1.0" encoding="utf-8"?>
<sst xmlns="http://schemas.openxmlformats.org/spreadsheetml/2006/main" count="198" uniqueCount="17">
  <si>
    <t>Setosa</t>
  </si>
  <si>
    <t>Versicolor</t>
  </si>
  <si>
    <t>Virginica</t>
  </si>
  <si>
    <t>Sepal Length</t>
  </si>
  <si>
    <t>Sepal Width</t>
  </si>
  <si>
    <t>Petal Length</t>
  </si>
  <si>
    <t>Petal Width</t>
  </si>
  <si>
    <t>Variety</t>
  </si>
  <si>
    <t xml:space="preserve">Descriptive Statistics (Setosa)
</t>
  </si>
  <si>
    <t>Mean</t>
  </si>
  <si>
    <t xml:space="preserve">Median </t>
  </si>
  <si>
    <t>Mode</t>
  </si>
  <si>
    <t>Minimum</t>
  </si>
  <si>
    <t>Maximum</t>
  </si>
  <si>
    <t xml:space="preserve">Std. Dev. </t>
  </si>
  <si>
    <t xml:space="preserve">Descriptive Statistics (Versicolor)
</t>
  </si>
  <si>
    <t xml:space="preserve">Descriptive Statistics (Virginica)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</si>
</sst>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 (Body)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88A"/>
        <bgColor indexed="64"/>
      </patternFill>
    </fill>
    <fill>
      <patternFill patternType="solid">
        <fgColor rgb="FFB1FFB1"/>
        <bgColor indexed="64"/>
      </patternFill>
    </fill>
    <fill>
      <patternFill patternType="solid">
        <fgColor rgb="FFFFDEF5"/>
        <bgColor indexed="64"/>
      </patternFill>
    </fill>
    <fill>
      <patternFill patternType="solid">
        <fgColor rgb="FFBEBCFF"/>
        <bgColor indexed="64"/>
      </patternFill>
    </fill>
    <fill>
      <patternFill patternType="solid">
        <fgColor rgb="FFA0CE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4" xfId="0" applyBorder="1"/>
    <xf numFmtId="0" fontId="0" fillId="0" borderId="16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164" fontId="0" fillId="0" borderId="10" xfId="0" applyNumberFormat="1" applyBorder="1"/>
    <xf numFmtId="164" fontId="0" fillId="0" borderId="15" xfId="0" applyNumberFormat="1" applyBorder="1"/>
    <xf numFmtId="0" fontId="18" fillId="37" borderId="10" xfId="0" applyFont="1" applyFill="1" applyBorder="1" applyAlignment="1">
      <alignment horizontal="center" wrapText="1"/>
    </xf>
    <xf numFmtId="0" fontId="0" fillId="37" borderId="10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0" borderId="17" xfId="0" applyBorder="1"/>
    <xf numFmtId="0" fontId="0" fillId="0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164" fontId="0" fillId="0" borderId="19" xfId="0" applyNumberFormat="1" applyBorder="1"/>
    <xf numFmtId="0" fontId="0" fillId="0" borderId="19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0" borderId="19" xfId="0" applyFill="1" applyBorder="1"/>
    <xf numFmtId="0" fontId="0" fillId="0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EBCFF"/>
      <color rgb="FFFFDEF5"/>
      <color rgb="FFB1FFB1"/>
      <color rgb="FFFFF88A"/>
      <color rgb="FFA0C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Descriptive Statistics of Flower Measurements by Variety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in!$A$60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in!$B$54:$S$59</c15:sqref>
                  </c15:fullRef>
                  <c15:levelRef>
                    <c15:sqref>in!$B$59:$S$59</c15:sqref>
                  </c15:levelRef>
                </c:ext>
              </c:extLst>
              <c:f>in!$B$59:$S$59</c:f>
              <c:strCache>
                <c:ptCount val="18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  <c:pt idx="3">
                  <c:v>Petal Width</c:v>
                </c:pt>
                <c:pt idx="7">
                  <c:v>Sepal Length</c:v>
                </c:pt>
                <c:pt idx="8">
                  <c:v>Sepal Width</c:v>
                </c:pt>
                <c:pt idx="9">
                  <c:v>Petal Length</c:v>
                </c:pt>
                <c:pt idx="10">
                  <c:v>Petal Width</c:v>
                </c:pt>
                <c:pt idx="14">
                  <c:v>Sepal Length</c:v>
                </c:pt>
                <c:pt idx="15">
                  <c:v>Sepal Width</c:v>
                </c:pt>
                <c:pt idx="16">
                  <c:v>Petal Length</c:v>
                </c:pt>
                <c:pt idx="17">
                  <c:v>Petal Width</c:v>
                </c:pt>
              </c:strCache>
            </c:strRef>
          </c:cat>
          <c:val>
            <c:numRef>
              <c:f>in!$B$60:$S$60</c:f>
              <c:numCache>
                <c:formatCode>0.0</c:formatCode>
                <c:ptCount val="18"/>
                <c:pt idx="0">
                  <c:v>5.0059999999999993</c:v>
                </c:pt>
                <c:pt idx="1">
                  <c:v>3.4280000000000008</c:v>
                </c:pt>
                <c:pt idx="2">
                  <c:v>1.4620000000000002</c:v>
                </c:pt>
                <c:pt idx="3">
                  <c:v>0.24599999999999991</c:v>
                </c:pt>
                <c:pt idx="6" formatCode="General">
                  <c:v>0</c:v>
                </c:pt>
                <c:pt idx="7">
                  <c:v>5.9359999999999999</c:v>
                </c:pt>
                <c:pt idx="8">
                  <c:v>2.7700000000000005</c:v>
                </c:pt>
                <c:pt idx="9">
                  <c:v>4.26</c:v>
                </c:pt>
                <c:pt idx="10">
                  <c:v>1.3259999999999998</c:v>
                </c:pt>
                <c:pt idx="13" formatCode="General">
                  <c:v>0</c:v>
                </c:pt>
                <c:pt idx="14">
                  <c:v>6.5879999999999983</c:v>
                </c:pt>
                <c:pt idx="15">
                  <c:v>2.9739999999999998</c:v>
                </c:pt>
                <c:pt idx="16">
                  <c:v>5.5519999999999996</c:v>
                </c:pt>
                <c:pt idx="17">
                  <c:v>2.0259999999999998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A-2443-A7FE-587E93796BFA}"/>
            </c:ext>
          </c:extLst>
        </c:ser>
        <c:ser>
          <c:idx val="1"/>
          <c:order val="1"/>
          <c:tx>
            <c:strRef>
              <c:f>in!$A$61</c:f>
              <c:strCache>
                <c:ptCount val="1"/>
                <c:pt idx="0">
                  <c:v>Median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in!$B$54:$S$59</c15:sqref>
                  </c15:fullRef>
                  <c15:levelRef>
                    <c15:sqref>in!$B$59:$S$59</c15:sqref>
                  </c15:levelRef>
                </c:ext>
              </c:extLst>
              <c:f>in!$B$59:$S$59</c:f>
              <c:strCache>
                <c:ptCount val="18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  <c:pt idx="3">
                  <c:v>Petal Width</c:v>
                </c:pt>
                <c:pt idx="7">
                  <c:v>Sepal Length</c:v>
                </c:pt>
                <c:pt idx="8">
                  <c:v>Sepal Width</c:v>
                </c:pt>
                <c:pt idx="9">
                  <c:v>Petal Length</c:v>
                </c:pt>
                <c:pt idx="10">
                  <c:v>Petal Width</c:v>
                </c:pt>
                <c:pt idx="14">
                  <c:v>Sepal Length</c:v>
                </c:pt>
                <c:pt idx="15">
                  <c:v>Sepal Width</c:v>
                </c:pt>
                <c:pt idx="16">
                  <c:v>Petal Length</c:v>
                </c:pt>
                <c:pt idx="17">
                  <c:v>Petal Width</c:v>
                </c:pt>
              </c:strCache>
            </c:strRef>
          </c:cat>
          <c:val>
            <c:numRef>
              <c:f>in!$B$61:$S$61</c:f>
              <c:numCache>
                <c:formatCode>0.0</c:formatCode>
                <c:ptCount val="18"/>
                <c:pt idx="0">
                  <c:v>5</c:v>
                </c:pt>
                <c:pt idx="1">
                  <c:v>3.4</c:v>
                </c:pt>
                <c:pt idx="2">
                  <c:v>1.5</c:v>
                </c:pt>
                <c:pt idx="3">
                  <c:v>0.2</c:v>
                </c:pt>
                <c:pt idx="6" formatCode="General">
                  <c:v>0</c:v>
                </c:pt>
                <c:pt idx="7">
                  <c:v>5.9</c:v>
                </c:pt>
                <c:pt idx="8">
                  <c:v>2.8</c:v>
                </c:pt>
                <c:pt idx="9">
                  <c:v>4.3499999999999996</c:v>
                </c:pt>
                <c:pt idx="10">
                  <c:v>1.3</c:v>
                </c:pt>
                <c:pt idx="13" formatCode="General">
                  <c:v>0</c:v>
                </c:pt>
                <c:pt idx="14">
                  <c:v>6.5</c:v>
                </c:pt>
                <c:pt idx="15">
                  <c:v>3</c:v>
                </c:pt>
                <c:pt idx="16">
                  <c:v>5.55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A-2443-A7FE-587E93796BFA}"/>
            </c:ext>
          </c:extLst>
        </c:ser>
        <c:ser>
          <c:idx val="2"/>
          <c:order val="2"/>
          <c:tx>
            <c:strRef>
              <c:f>in!$A$62</c:f>
              <c:strCache>
                <c:ptCount val="1"/>
                <c:pt idx="0">
                  <c:v>Mode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in!$B$54:$S$59</c15:sqref>
                  </c15:fullRef>
                  <c15:levelRef>
                    <c15:sqref>in!$B$59:$S$59</c15:sqref>
                  </c15:levelRef>
                </c:ext>
              </c:extLst>
              <c:f>in!$B$59:$S$59</c:f>
              <c:strCache>
                <c:ptCount val="18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  <c:pt idx="3">
                  <c:v>Petal Width</c:v>
                </c:pt>
                <c:pt idx="7">
                  <c:v>Sepal Length</c:v>
                </c:pt>
                <c:pt idx="8">
                  <c:v>Sepal Width</c:v>
                </c:pt>
                <c:pt idx="9">
                  <c:v>Petal Length</c:v>
                </c:pt>
                <c:pt idx="10">
                  <c:v>Petal Width</c:v>
                </c:pt>
                <c:pt idx="14">
                  <c:v>Sepal Length</c:v>
                </c:pt>
                <c:pt idx="15">
                  <c:v>Sepal Width</c:v>
                </c:pt>
                <c:pt idx="16">
                  <c:v>Petal Length</c:v>
                </c:pt>
                <c:pt idx="17">
                  <c:v>Petal Width</c:v>
                </c:pt>
              </c:strCache>
            </c:strRef>
          </c:cat>
          <c:val>
            <c:numRef>
              <c:f>in!$B$62:$S$62</c:f>
              <c:numCache>
                <c:formatCode>General</c:formatCode>
                <c:ptCount val="18"/>
                <c:pt idx="0">
                  <c:v>5.0999999999999996</c:v>
                </c:pt>
                <c:pt idx="1">
                  <c:v>3.4</c:v>
                </c:pt>
                <c:pt idx="2">
                  <c:v>1.4</c:v>
                </c:pt>
                <c:pt idx="3">
                  <c:v>0.2</c:v>
                </c:pt>
                <c:pt idx="6">
                  <c:v>0</c:v>
                </c:pt>
                <c:pt idx="7">
                  <c:v>5.5</c:v>
                </c:pt>
                <c:pt idx="8">
                  <c:v>3</c:v>
                </c:pt>
                <c:pt idx="9">
                  <c:v>4.5</c:v>
                </c:pt>
                <c:pt idx="10">
                  <c:v>1.3</c:v>
                </c:pt>
                <c:pt idx="13">
                  <c:v>0</c:v>
                </c:pt>
                <c:pt idx="14">
                  <c:v>6.3</c:v>
                </c:pt>
                <c:pt idx="15">
                  <c:v>3</c:v>
                </c:pt>
                <c:pt idx="16">
                  <c:v>5.0999999999999996</c:v>
                </c:pt>
                <c:pt idx="17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A-2443-A7FE-587E93796BFA}"/>
            </c:ext>
          </c:extLst>
        </c:ser>
        <c:ser>
          <c:idx val="3"/>
          <c:order val="3"/>
          <c:tx>
            <c:strRef>
              <c:f>in!$A$63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in!$B$54:$S$59</c15:sqref>
                  </c15:fullRef>
                  <c15:levelRef>
                    <c15:sqref>in!$B$59:$S$59</c15:sqref>
                  </c15:levelRef>
                </c:ext>
              </c:extLst>
              <c:f>in!$B$59:$S$59</c:f>
              <c:strCache>
                <c:ptCount val="18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  <c:pt idx="3">
                  <c:v>Petal Width</c:v>
                </c:pt>
                <c:pt idx="7">
                  <c:v>Sepal Length</c:v>
                </c:pt>
                <c:pt idx="8">
                  <c:v>Sepal Width</c:v>
                </c:pt>
                <c:pt idx="9">
                  <c:v>Petal Length</c:v>
                </c:pt>
                <c:pt idx="10">
                  <c:v>Petal Width</c:v>
                </c:pt>
                <c:pt idx="14">
                  <c:v>Sepal Length</c:v>
                </c:pt>
                <c:pt idx="15">
                  <c:v>Sepal Width</c:v>
                </c:pt>
                <c:pt idx="16">
                  <c:v>Petal Length</c:v>
                </c:pt>
                <c:pt idx="17">
                  <c:v>Petal Width</c:v>
                </c:pt>
              </c:strCache>
            </c:strRef>
          </c:cat>
          <c:val>
            <c:numRef>
              <c:f>in!$B$63:$S$63</c:f>
              <c:numCache>
                <c:formatCode>0.0</c:formatCode>
                <c:ptCount val="18"/>
                <c:pt idx="0">
                  <c:v>4.3</c:v>
                </c:pt>
                <c:pt idx="1">
                  <c:v>2.2999999999999998</c:v>
                </c:pt>
                <c:pt idx="2">
                  <c:v>1</c:v>
                </c:pt>
                <c:pt idx="3">
                  <c:v>0.1</c:v>
                </c:pt>
                <c:pt idx="6" formatCode="General">
                  <c:v>0</c:v>
                </c:pt>
                <c:pt idx="7">
                  <c:v>4.9000000000000004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3" formatCode="General">
                  <c:v>0</c:v>
                </c:pt>
                <c:pt idx="14">
                  <c:v>4.9000000000000004</c:v>
                </c:pt>
                <c:pt idx="15">
                  <c:v>2.2000000000000002</c:v>
                </c:pt>
                <c:pt idx="16">
                  <c:v>4.5</c:v>
                </c:pt>
                <c:pt idx="17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A-2443-A7FE-587E93796BFA}"/>
            </c:ext>
          </c:extLst>
        </c:ser>
        <c:ser>
          <c:idx val="4"/>
          <c:order val="4"/>
          <c:tx>
            <c:strRef>
              <c:f>in!$A$64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in!$B$54:$S$59</c15:sqref>
                  </c15:fullRef>
                  <c15:levelRef>
                    <c15:sqref>in!$B$59:$S$59</c15:sqref>
                  </c15:levelRef>
                </c:ext>
              </c:extLst>
              <c:f>in!$B$59:$S$59</c:f>
              <c:strCache>
                <c:ptCount val="18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  <c:pt idx="3">
                  <c:v>Petal Width</c:v>
                </c:pt>
                <c:pt idx="7">
                  <c:v>Sepal Length</c:v>
                </c:pt>
                <c:pt idx="8">
                  <c:v>Sepal Width</c:v>
                </c:pt>
                <c:pt idx="9">
                  <c:v>Petal Length</c:v>
                </c:pt>
                <c:pt idx="10">
                  <c:v>Petal Width</c:v>
                </c:pt>
                <c:pt idx="14">
                  <c:v>Sepal Length</c:v>
                </c:pt>
                <c:pt idx="15">
                  <c:v>Sepal Width</c:v>
                </c:pt>
                <c:pt idx="16">
                  <c:v>Petal Length</c:v>
                </c:pt>
                <c:pt idx="17">
                  <c:v>Petal Width</c:v>
                </c:pt>
              </c:strCache>
            </c:strRef>
          </c:cat>
          <c:val>
            <c:numRef>
              <c:f>in!$B$64:$S$64</c:f>
              <c:numCache>
                <c:formatCode>0.0</c:formatCode>
                <c:ptCount val="18"/>
                <c:pt idx="0">
                  <c:v>5.8</c:v>
                </c:pt>
                <c:pt idx="1">
                  <c:v>4.4000000000000004</c:v>
                </c:pt>
                <c:pt idx="2">
                  <c:v>1.9</c:v>
                </c:pt>
                <c:pt idx="3">
                  <c:v>0.6</c:v>
                </c:pt>
                <c:pt idx="6" formatCode="General">
                  <c:v>0</c:v>
                </c:pt>
                <c:pt idx="7">
                  <c:v>7</c:v>
                </c:pt>
                <c:pt idx="8">
                  <c:v>3.4</c:v>
                </c:pt>
                <c:pt idx="9">
                  <c:v>5.0999999999999996</c:v>
                </c:pt>
                <c:pt idx="10">
                  <c:v>1.8</c:v>
                </c:pt>
                <c:pt idx="13" formatCode="General">
                  <c:v>0</c:v>
                </c:pt>
                <c:pt idx="14">
                  <c:v>7.9</c:v>
                </c:pt>
                <c:pt idx="15">
                  <c:v>3.8</c:v>
                </c:pt>
                <c:pt idx="16">
                  <c:v>6.9</c:v>
                </c:pt>
                <c:pt idx="1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BA-2443-A7FE-587E93796BFA}"/>
            </c:ext>
          </c:extLst>
        </c:ser>
        <c:ser>
          <c:idx val="5"/>
          <c:order val="5"/>
          <c:tx>
            <c:strRef>
              <c:f>in!$A$65</c:f>
              <c:strCache>
                <c:ptCount val="1"/>
                <c:pt idx="0">
                  <c:v>Std. Dev.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in!$B$54:$S$59</c15:sqref>
                  </c15:fullRef>
                  <c15:levelRef>
                    <c15:sqref>in!$B$59:$S$59</c15:sqref>
                  </c15:levelRef>
                </c:ext>
              </c:extLst>
              <c:f>in!$B$59:$S$59</c:f>
              <c:strCache>
                <c:ptCount val="18"/>
                <c:pt idx="0">
                  <c:v>Sepal Length</c:v>
                </c:pt>
                <c:pt idx="1">
                  <c:v>Sepal Width</c:v>
                </c:pt>
                <c:pt idx="2">
                  <c:v>Petal Length</c:v>
                </c:pt>
                <c:pt idx="3">
                  <c:v>Petal Width</c:v>
                </c:pt>
                <c:pt idx="7">
                  <c:v>Sepal Length</c:v>
                </c:pt>
                <c:pt idx="8">
                  <c:v>Sepal Width</c:v>
                </c:pt>
                <c:pt idx="9">
                  <c:v>Petal Length</c:v>
                </c:pt>
                <c:pt idx="10">
                  <c:v>Petal Width</c:v>
                </c:pt>
                <c:pt idx="14">
                  <c:v>Sepal Length</c:v>
                </c:pt>
                <c:pt idx="15">
                  <c:v>Sepal Width</c:v>
                </c:pt>
                <c:pt idx="16">
                  <c:v>Petal Length</c:v>
                </c:pt>
                <c:pt idx="17">
                  <c:v>Petal Width</c:v>
                </c:pt>
              </c:strCache>
            </c:strRef>
          </c:cat>
          <c:val>
            <c:numRef>
              <c:f>in!$B$65:$S$65</c:f>
              <c:numCache>
                <c:formatCode>General</c:formatCode>
                <c:ptCount val="18"/>
                <c:pt idx="0">
                  <c:v>0.3524896872134512</c:v>
                </c:pt>
                <c:pt idx="1">
                  <c:v>0.37906436909629143</c:v>
                </c:pt>
                <c:pt idx="2">
                  <c:v>0.17366399648018002</c:v>
                </c:pt>
                <c:pt idx="3">
                  <c:v>0.10538558938004595</c:v>
                </c:pt>
                <c:pt idx="6">
                  <c:v>0</c:v>
                </c:pt>
                <c:pt idx="7">
                  <c:v>0.51617114706386347</c:v>
                </c:pt>
                <c:pt idx="8">
                  <c:v>0.31379832337840918</c:v>
                </c:pt>
                <c:pt idx="9">
                  <c:v>0.46991097723996639</c:v>
                </c:pt>
                <c:pt idx="10">
                  <c:v>0.19775268000454274</c:v>
                </c:pt>
                <c:pt idx="13">
                  <c:v>0</c:v>
                </c:pt>
                <c:pt idx="14">
                  <c:v>0.635879593274432</c:v>
                </c:pt>
                <c:pt idx="15">
                  <c:v>0.32249663817263963</c:v>
                </c:pt>
                <c:pt idx="16">
                  <c:v>0.55189469566398353</c:v>
                </c:pt>
                <c:pt idx="17">
                  <c:v>0.27465005563666967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BA-2443-A7FE-587E93796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7769664"/>
        <c:axId val="1057767424"/>
      </c:barChart>
      <c:catAx>
        <c:axId val="105776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767424"/>
        <c:crosses val="autoZero"/>
        <c:auto val="1"/>
        <c:lblAlgn val="ctr"/>
        <c:lblOffset val="100"/>
        <c:noMultiLvlLbl val="0"/>
      </c:catAx>
      <c:valAx>
        <c:axId val="105776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76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404627</xdr:colOff>
      <xdr:row>67</xdr:row>
      <xdr:rowOff>53947</xdr:rowOff>
    </xdr:from>
    <xdr:to>
      <xdr:col>18</xdr:col>
      <xdr:colOff>778934</xdr:colOff>
      <xdr:row>109</xdr:row>
      <xdr:rowOff>169332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56B22A-7B8D-0BC1-20FA-7109643F5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2425-0172-4038-A7A7-D1497640ABEB}">
  <dimension ref="A1:S153"/>
  <sheetViews>
    <sheetView tabSelected="1" zoomScale="75" zoomScaleNormal="100" workbookViewId="0">
      <selection activeCell="W80" sqref="W80"/>
    </sheetView>
  </sheetViews>
  <sheetFormatPr baseColWidth="10" defaultColWidth="8.83203125" defaultRowHeight="15" x14ac:dyDescent="0.2"/>
  <cols>
    <col min="1" max="1" width="10.6640625" style="2" bestFit="1" customWidth="1"/>
    <col min="2" max="5" width="12.1640625" style="2" bestFit="1" customWidth="1"/>
    <col min="8" max="8" width="10.6640625" bestFit="1" customWidth="1"/>
    <col min="9" max="11" width="12.1640625" bestFit="1" customWidth="1"/>
    <col min="12" max="12" width="11.1640625" bestFit="1" customWidth="1"/>
    <col min="15" max="15" width="10.6640625" bestFit="1" customWidth="1"/>
    <col min="16" max="19" width="12.1640625" bestFit="1" customWidth="1"/>
  </cols>
  <sheetData>
    <row r="1" spans="1:19" x14ac:dyDescent="0.2">
      <c r="A1" s="5" t="s">
        <v>3</v>
      </c>
      <c r="B1" s="6" t="s">
        <v>4</v>
      </c>
      <c r="C1" s="7" t="s">
        <v>5</v>
      </c>
      <c r="D1" s="8" t="s">
        <v>6</v>
      </c>
      <c r="E1" s="9" t="s">
        <v>7</v>
      </c>
      <c r="H1" s="5" t="s">
        <v>3</v>
      </c>
      <c r="I1" s="6" t="s">
        <v>4</v>
      </c>
      <c r="J1" s="7" t="s">
        <v>5</v>
      </c>
      <c r="K1" s="8" t="s">
        <v>6</v>
      </c>
      <c r="L1" s="9" t="s">
        <v>7</v>
      </c>
      <c r="O1" s="5" t="s">
        <v>3</v>
      </c>
      <c r="P1" s="6" t="s">
        <v>4</v>
      </c>
      <c r="Q1" s="7" t="s">
        <v>5</v>
      </c>
      <c r="R1" s="8" t="s">
        <v>6</v>
      </c>
      <c r="S1" s="9" t="s">
        <v>7</v>
      </c>
    </row>
    <row r="2" spans="1:19" x14ac:dyDescent="0.2">
      <c r="A2" s="10">
        <v>5.0999999999999996</v>
      </c>
      <c r="B2" s="10">
        <v>3.5</v>
      </c>
      <c r="C2" s="10">
        <v>1.4</v>
      </c>
      <c r="D2" s="10">
        <v>0.2</v>
      </c>
      <c r="E2" s="2" t="s">
        <v>0</v>
      </c>
      <c r="H2" s="10">
        <v>7</v>
      </c>
      <c r="I2" s="10">
        <v>3.2</v>
      </c>
      <c r="J2" s="10">
        <v>4.7</v>
      </c>
      <c r="K2" s="10">
        <v>1.4</v>
      </c>
      <c r="L2" s="2" t="s">
        <v>1</v>
      </c>
      <c r="O2" s="10">
        <v>6.3</v>
      </c>
      <c r="P2" s="10">
        <v>3.3</v>
      </c>
      <c r="Q2" s="10">
        <v>6</v>
      </c>
      <c r="R2" s="10">
        <v>2.5</v>
      </c>
      <c r="S2" s="2" t="s">
        <v>2</v>
      </c>
    </row>
    <row r="3" spans="1:19" x14ac:dyDescent="0.2">
      <c r="A3" s="10">
        <v>4.9000000000000004</v>
      </c>
      <c r="B3" s="10">
        <v>3</v>
      </c>
      <c r="C3" s="10">
        <v>1.4</v>
      </c>
      <c r="D3" s="10">
        <v>0.2</v>
      </c>
      <c r="E3" s="2" t="s">
        <v>0</v>
      </c>
      <c r="H3" s="10">
        <v>6.4</v>
      </c>
      <c r="I3" s="10">
        <v>3.2</v>
      </c>
      <c r="J3" s="10">
        <v>4.5</v>
      </c>
      <c r="K3" s="10">
        <v>1.5</v>
      </c>
      <c r="L3" s="2" t="s">
        <v>1</v>
      </c>
      <c r="O3" s="10">
        <v>5.8</v>
      </c>
      <c r="P3" s="10">
        <v>2.7</v>
      </c>
      <c r="Q3" s="10">
        <v>5.0999999999999996</v>
      </c>
      <c r="R3" s="10">
        <v>1.9</v>
      </c>
      <c r="S3" s="2" t="s">
        <v>2</v>
      </c>
    </row>
    <row r="4" spans="1:19" x14ac:dyDescent="0.2">
      <c r="A4" s="10">
        <v>4.7</v>
      </c>
      <c r="B4" s="10">
        <v>3.2</v>
      </c>
      <c r="C4" s="10">
        <v>1.3</v>
      </c>
      <c r="D4" s="10">
        <v>0.2</v>
      </c>
      <c r="E4" s="2" t="s">
        <v>0</v>
      </c>
      <c r="H4" s="10">
        <v>6.9</v>
      </c>
      <c r="I4" s="10">
        <v>3.1</v>
      </c>
      <c r="J4" s="10">
        <v>4.9000000000000004</v>
      </c>
      <c r="K4" s="10">
        <v>1.5</v>
      </c>
      <c r="L4" s="2" t="s">
        <v>1</v>
      </c>
      <c r="O4" s="10">
        <v>7.1</v>
      </c>
      <c r="P4" s="10">
        <v>3</v>
      </c>
      <c r="Q4" s="10">
        <v>5.9</v>
      </c>
      <c r="R4" s="10">
        <v>2.1</v>
      </c>
      <c r="S4" s="2" t="s">
        <v>2</v>
      </c>
    </row>
    <row r="5" spans="1:19" x14ac:dyDescent="0.2">
      <c r="A5" s="10">
        <v>4.5999999999999996</v>
      </c>
      <c r="B5" s="10">
        <v>3.1</v>
      </c>
      <c r="C5" s="10">
        <v>1.5</v>
      </c>
      <c r="D5" s="10">
        <v>0.2</v>
      </c>
      <c r="E5" s="2" t="s">
        <v>0</v>
      </c>
      <c r="H5" s="10">
        <v>5.5</v>
      </c>
      <c r="I5" s="10">
        <v>2.2999999999999998</v>
      </c>
      <c r="J5" s="10">
        <v>4</v>
      </c>
      <c r="K5" s="10">
        <v>1.3</v>
      </c>
      <c r="L5" s="2" t="s">
        <v>1</v>
      </c>
      <c r="O5" s="10">
        <v>6.3</v>
      </c>
      <c r="P5" s="10">
        <v>2.9</v>
      </c>
      <c r="Q5" s="10">
        <v>5.6</v>
      </c>
      <c r="R5" s="10">
        <v>1.8</v>
      </c>
      <c r="S5" s="2" t="s">
        <v>2</v>
      </c>
    </row>
    <row r="6" spans="1:19" x14ac:dyDescent="0.2">
      <c r="A6" s="10">
        <v>5</v>
      </c>
      <c r="B6" s="10">
        <v>3.6</v>
      </c>
      <c r="C6" s="10">
        <v>1.4</v>
      </c>
      <c r="D6" s="10">
        <v>0.2</v>
      </c>
      <c r="E6" s="2" t="s">
        <v>0</v>
      </c>
      <c r="H6" s="10">
        <v>6.5</v>
      </c>
      <c r="I6" s="10">
        <v>2.8</v>
      </c>
      <c r="J6" s="10">
        <v>4.5999999999999996</v>
      </c>
      <c r="K6" s="10">
        <v>1.5</v>
      </c>
      <c r="L6" s="2" t="s">
        <v>1</v>
      </c>
      <c r="O6" s="10">
        <v>6.5</v>
      </c>
      <c r="P6" s="10">
        <v>3</v>
      </c>
      <c r="Q6" s="10">
        <v>5.8</v>
      </c>
      <c r="R6" s="10">
        <v>2.2000000000000002</v>
      </c>
      <c r="S6" s="2" t="s">
        <v>2</v>
      </c>
    </row>
    <row r="7" spans="1:19" x14ac:dyDescent="0.2">
      <c r="A7" s="10">
        <v>5.4</v>
      </c>
      <c r="B7" s="10">
        <v>3.9</v>
      </c>
      <c r="C7" s="10">
        <v>1.7</v>
      </c>
      <c r="D7" s="10">
        <v>0.4</v>
      </c>
      <c r="E7" s="2" t="s">
        <v>0</v>
      </c>
      <c r="H7" s="10">
        <v>5.7</v>
      </c>
      <c r="I7" s="10">
        <v>2.8</v>
      </c>
      <c r="J7" s="10">
        <v>4.5</v>
      </c>
      <c r="K7" s="10">
        <v>1.3</v>
      </c>
      <c r="L7" s="2" t="s">
        <v>1</v>
      </c>
      <c r="O7" s="10">
        <v>7.6</v>
      </c>
      <c r="P7" s="10">
        <v>3</v>
      </c>
      <c r="Q7" s="10">
        <v>6.6</v>
      </c>
      <c r="R7" s="10">
        <v>2.1</v>
      </c>
      <c r="S7" s="2" t="s">
        <v>2</v>
      </c>
    </row>
    <row r="8" spans="1:19" x14ac:dyDescent="0.2">
      <c r="A8" s="10">
        <v>4.5999999999999996</v>
      </c>
      <c r="B8" s="10">
        <v>3.4</v>
      </c>
      <c r="C8" s="10">
        <v>1.4</v>
      </c>
      <c r="D8" s="10">
        <v>0.3</v>
      </c>
      <c r="E8" s="2" t="s">
        <v>0</v>
      </c>
      <c r="H8" s="10">
        <v>6.3</v>
      </c>
      <c r="I8" s="10">
        <v>3.3</v>
      </c>
      <c r="J8" s="10">
        <v>4.7</v>
      </c>
      <c r="K8" s="10">
        <v>1.6</v>
      </c>
      <c r="L8" s="2" t="s">
        <v>1</v>
      </c>
      <c r="O8" s="10">
        <v>4.9000000000000004</v>
      </c>
      <c r="P8" s="10">
        <v>2.5</v>
      </c>
      <c r="Q8" s="10">
        <v>4.5</v>
      </c>
      <c r="R8" s="10">
        <v>1.7</v>
      </c>
      <c r="S8" s="2" t="s">
        <v>2</v>
      </c>
    </row>
    <row r="9" spans="1:19" x14ac:dyDescent="0.2">
      <c r="A9" s="10">
        <v>5</v>
      </c>
      <c r="B9" s="10">
        <v>3.4</v>
      </c>
      <c r="C9" s="10">
        <v>1.5</v>
      </c>
      <c r="D9" s="10">
        <v>0.2</v>
      </c>
      <c r="E9" s="2" t="s">
        <v>0</v>
      </c>
      <c r="H9" s="10">
        <v>4.9000000000000004</v>
      </c>
      <c r="I9" s="10">
        <v>2.4</v>
      </c>
      <c r="J9" s="10">
        <v>3.3</v>
      </c>
      <c r="K9" s="10">
        <v>1</v>
      </c>
      <c r="L9" s="2" t="s">
        <v>1</v>
      </c>
      <c r="O9" s="10">
        <v>7.3</v>
      </c>
      <c r="P9" s="10">
        <v>2.9</v>
      </c>
      <c r="Q9" s="10">
        <v>6.3</v>
      </c>
      <c r="R9" s="10">
        <v>1.8</v>
      </c>
      <c r="S9" s="2" t="s">
        <v>2</v>
      </c>
    </row>
    <row r="10" spans="1:19" x14ac:dyDescent="0.2">
      <c r="A10" s="10">
        <v>4.4000000000000004</v>
      </c>
      <c r="B10" s="10">
        <v>2.9</v>
      </c>
      <c r="C10" s="10">
        <v>1.4</v>
      </c>
      <c r="D10" s="10">
        <v>0.2</v>
      </c>
      <c r="E10" s="2" t="s">
        <v>0</v>
      </c>
      <c r="H10" s="10">
        <v>6.6</v>
      </c>
      <c r="I10" s="10">
        <v>2.9</v>
      </c>
      <c r="J10" s="10">
        <v>4.5999999999999996</v>
      </c>
      <c r="K10" s="10">
        <v>1.3</v>
      </c>
      <c r="L10" s="2" t="s">
        <v>1</v>
      </c>
      <c r="O10" s="10">
        <v>6.7</v>
      </c>
      <c r="P10" s="10">
        <v>2.5</v>
      </c>
      <c r="Q10" s="10">
        <v>5.8</v>
      </c>
      <c r="R10" s="10">
        <v>1.8</v>
      </c>
      <c r="S10" s="2" t="s">
        <v>2</v>
      </c>
    </row>
    <row r="11" spans="1:19" x14ac:dyDescent="0.2">
      <c r="A11" s="10">
        <v>4.9000000000000004</v>
      </c>
      <c r="B11" s="10">
        <v>3.1</v>
      </c>
      <c r="C11" s="10">
        <v>1.5</v>
      </c>
      <c r="D11" s="10">
        <v>0.1</v>
      </c>
      <c r="E11" s="2" t="s">
        <v>0</v>
      </c>
      <c r="H11" s="10">
        <v>5.2</v>
      </c>
      <c r="I11" s="10">
        <v>2.7</v>
      </c>
      <c r="J11" s="10">
        <v>3.9</v>
      </c>
      <c r="K11" s="10">
        <v>1.4</v>
      </c>
      <c r="L11" s="2" t="s">
        <v>1</v>
      </c>
      <c r="O11" s="10">
        <v>7.2</v>
      </c>
      <c r="P11" s="10">
        <v>3.6</v>
      </c>
      <c r="Q11" s="10">
        <v>6.1</v>
      </c>
      <c r="R11" s="10">
        <v>2.5</v>
      </c>
      <c r="S11" s="2" t="s">
        <v>2</v>
      </c>
    </row>
    <row r="12" spans="1:19" x14ac:dyDescent="0.2">
      <c r="A12" s="10">
        <v>5.4</v>
      </c>
      <c r="B12" s="10">
        <v>3.7</v>
      </c>
      <c r="C12" s="10">
        <v>1.5</v>
      </c>
      <c r="D12" s="10">
        <v>0.2</v>
      </c>
      <c r="E12" s="2" t="s">
        <v>0</v>
      </c>
      <c r="H12" s="10">
        <v>5</v>
      </c>
      <c r="I12" s="10">
        <v>2</v>
      </c>
      <c r="J12" s="10">
        <v>3.5</v>
      </c>
      <c r="K12" s="10">
        <v>1</v>
      </c>
      <c r="L12" s="2" t="s">
        <v>1</v>
      </c>
      <c r="O12" s="10">
        <v>6.5</v>
      </c>
      <c r="P12" s="10">
        <v>3.2</v>
      </c>
      <c r="Q12" s="10">
        <v>5.0999999999999996</v>
      </c>
      <c r="R12" s="10">
        <v>2</v>
      </c>
      <c r="S12" s="2" t="s">
        <v>2</v>
      </c>
    </row>
    <row r="13" spans="1:19" x14ac:dyDescent="0.2">
      <c r="A13" s="10">
        <v>4.8</v>
      </c>
      <c r="B13" s="10">
        <v>3.4</v>
      </c>
      <c r="C13" s="10">
        <v>1.6</v>
      </c>
      <c r="D13" s="10">
        <v>0.2</v>
      </c>
      <c r="E13" s="2" t="s">
        <v>0</v>
      </c>
      <c r="H13" s="10">
        <v>5.9</v>
      </c>
      <c r="I13" s="10">
        <v>3</v>
      </c>
      <c r="J13" s="10">
        <v>4.2</v>
      </c>
      <c r="K13" s="10">
        <v>1.5</v>
      </c>
      <c r="L13" s="2" t="s">
        <v>1</v>
      </c>
      <c r="O13" s="10">
        <v>6.4</v>
      </c>
      <c r="P13" s="10">
        <v>2.7</v>
      </c>
      <c r="Q13" s="10">
        <v>5.3</v>
      </c>
      <c r="R13" s="10">
        <v>1.9</v>
      </c>
      <c r="S13" s="2" t="s">
        <v>2</v>
      </c>
    </row>
    <row r="14" spans="1:19" x14ac:dyDescent="0.2">
      <c r="A14" s="10">
        <v>4.8</v>
      </c>
      <c r="B14" s="10">
        <v>3</v>
      </c>
      <c r="C14" s="10">
        <v>1.4</v>
      </c>
      <c r="D14" s="10">
        <v>0.1</v>
      </c>
      <c r="E14" s="2" t="s">
        <v>0</v>
      </c>
      <c r="H14" s="10">
        <v>6</v>
      </c>
      <c r="I14" s="10">
        <v>2.2000000000000002</v>
      </c>
      <c r="J14" s="10">
        <v>4</v>
      </c>
      <c r="K14" s="10">
        <v>1</v>
      </c>
      <c r="L14" s="2" t="s">
        <v>1</v>
      </c>
      <c r="O14" s="10">
        <v>6.8</v>
      </c>
      <c r="P14" s="10">
        <v>3</v>
      </c>
      <c r="Q14" s="10">
        <v>5.5</v>
      </c>
      <c r="R14" s="10">
        <v>2.1</v>
      </c>
      <c r="S14" s="2" t="s">
        <v>2</v>
      </c>
    </row>
    <row r="15" spans="1:19" x14ac:dyDescent="0.2">
      <c r="A15" s="10">
        <v>4.3</v>
      </c>
      <c r="B15" s="10">
        <v>3</v>
      </c>
      <c r="C15" s="10">
        <v>1.1000000000000001</v>
      </c>
      <c r="D15" s="10">
        <v>0.1</v>
      </c>
      <c r="E15" s="2" t="s">
        <v>0</v>
      </c>
      <c r="H15" s="10">
        <v>6.1</v>
      </c>
      <c r="I15" s="10">
        <v>2.9</v>
      </c>
      <c r="J15" s="10">
        <v>4.7</v>
      </c>
      <c r="K15" s="10">
        <v>1.4</v>
      </c>
      <c r="L15" s="2" t="s">
        <v>1</v>
      </c>
      <c r="O15" s="10">
        <v>5.7</v>
      </c>
      <c r="P15" s="10">
        <v>2.5</v>
      </c>
      <c r="Q15" s="10">
        <v>5</v>
      </c>
      <c r="R15" s="10">
        <v>2</v>
      </c>
      <c r="S15" s="2" t="s">
        <v>2</v>
      </c>
    </row>
    <row r="16" spans="1:19" x14ac:dyDescent="0.2">
      <c r="A16" s="10">
        <v>5.8</v>
      </c>
      <c r="B16" s="10">
        <v>4</v>
      </c>
      <c r="C16" s="10">
        <v>1.2</v>
      </c>
      <c r="D16" s="10">
        <v>0.2</v>
      </c>
      <c r="E16" s="2" t="s">
        <v>0</v>
      </c>
      <c r="H16" s="10">
        <v>5.6</v>
      </c>
      <c r="I16" s="10">
        <v>2.9</v>
      </c>
      <c r="J16" s="10">
        <v>3.6</v>
      </c>
      <c r="K16" s="10">
        <v>1.3</v>
      </c>
      <c r="L16" s="2" t="s">
        <v>1</v>
      </c>
      <c r="O16" s="10">
        <v>5.8</v>
      </c>
      <c r="P16" s="10">
        <v>2.8</v>
      </c>
      <c r="Q16" s="10">
        <v>5.0999999999999996</v>
      </c>
      <c r="R16" s="10">
        <v>2.4</v>
      </c>
      <c r="S16" s="2" t="s">
        <v>2</v>
      </c>
    </row>
    <row r="17" spans="1:19" x14ac:dyDescent="0.2">
      <c r="A17" s="10">
        <v>5.7</v>
      </c>
      <c r="B17" s="10">
        <v>4.4000000000000004</v>
      </c>
      <c r="C17" s="10">
        <v>1.5</v>
      </c>
      <c r="D17" s="10">
        <v>0.4</v>
      </c>
      <c r="E17" s="2" t="s">
        <v>0</v>
      </c>
      <c r="H17" s="10">
        <v>6.7</v>
      </c>
      <c r="I17" s="10">
        <v>3.1</v>
      </c>
      <c r="J17" s="10">
        <v>4.4000000000000004</v>
      </c>
      <c r="K17" s="10">
        <v>1.4</v>
      </c>
      <c r="L17" s="2" t="s">
        <v>1</v>
      </c>
      <c r="O17" s="10">
        <v>6.4</v>
      </c>
      <c r="P17" s="10">
        <v>3.2</v>
      </c>
      <c r="Q17" s="10">
        <v>5.3</v>
      </c>
      <c r="R17" s="10">
        <v>2.2999999999999998</v>
      </c>
      <c r="S17" s="2" t="s">
        <v>2</v>
      </c>
    </row>
    <row r="18" spans="1:19" x14ac:dyDescent="0.2">
      <c r="A18" s="10">
        <v>5.4</v>
      </c>
      <c r="B18" s="10">
        <v>3.9</v>
      </c>
      <c r="C18" s="10">
        <v>1.3</v>
      </c>
      <c r="D18" s="10">
        <v>0.4</v>
      </c>
      <c r="E18" s="2" t="s">
        <v>0</v>
      </c>
      <c r="H18" s="10">
        <v>5.6</v>
      </c>
      <c r="I18" s="10">
        <v>3</v>
      </c>
      <c r="J18" s="10">
        <v>4.5</v>
      </c>
      <c r="K18" s="10">
        <v>1.5</v>
      </c>
      <c r="L18" s="2" t="s">
        <v>1</v>
      </c>
      <c r="O18" s="10">
        <v>6.5</v>
      </c>
      <c r="P18" s="10">
        <v>3</v>
      </c>
      <c r="Q18" s="10">
        <v>5.5</v>
      </c>
      <c r="R18" s="10">
        <v>1.8</v>
      </c>
      <c r="S18" s="2" t="s">
        <v>2</v>
      </c>
    </row>
    <row r="19" spans="1:19" x14ac:dyDescent="0.2">
      <c r="A19" s="10">
        <v>5.0999999999999996</v>
      </c>
      <c r="B19" s="10">
        <v>3.5</v>
      </c>
      <c r="C19" s="10">
        <v>1.4</v>
      </c>
      <c r="D19" s="10">
        <v>0.3</v>
      </c>
      <c r="E19" s="2" t="s">
        <v>0</v>
      </c>
      <c r="H19" s="10">
        <v>5.8</v>
      </c>
      <c r="I19" s="10">
        <v>2.7</v>
      </c>
      <c r="J19" s="10">
        <v>4.0999999999999996</v>
      </c>
      <c r="K19" s="10">
        <v>1</v>
      </c>
      <c r="L19" s="2" t="s">
        <v>1</v>
      </c>
      <c r="O19" s="10">
        <v>7.7</v>
      </c>
      <c r="P19" s="10">
        <v>3.8</v>
      </c>
      <c r="Q19" s="10">
        <v>6.7</v>
      </c>
      <c r="R19" s="10">
        <v>2.2000000000000002</v>
      </c>
      <c r="S19" s="2" t="s">
        <v>2</v>
      </c>
    </row>
    <row r="20" spans="1:19" x14ac:dyDescent="0.2">
      <c r="A20" s="10">
        <v>5.7</v>
      </c>
      <c r="B20" s="10">
        <v>3.8</v>
      </c>
      <c r="C20" s="10">
        <v>1.7</v>
      </c>
      <c r="D20" s="10">
        <v>0.3</v>
      </c>
      <c r="E20" s="2" t="s">
        <v>0</v>
      </c>
      <c r="H20" s="10">
        <v>6.2</v>
      </c>
      <c r="I20" s="10">
        <v>2.2000000000000002</v>
      </c>
      <c r="J20" s="10">
        <v>4.5</v>
      </c>
      <c r="K20" s="10">
        <v>1.5</v>
      </c>
      <c r="L20" s="2" t="s">
        <v>1</v>
      </c>
      <c r="O20" s="10">
        <v>7.7</v>
      </c>
      <c r="P20" s="10">
        <v>2.6</v>
      </c>
      <c r="Q20" s="10">
        <v>6.9</v>
      </c>
      <c r="R20" s="10">
        <v>2.2999999999999998</v>
      </c>
      <c r="S20" s="2" t="s">
        <v>2</v>
      </c>
    </row>
    <row r="21" spans="1:19" x14ac:dyDescent="0.2">
      <c r="A21" s="10">
        <v>5.0999999999999996</v>
      </c>
      <c r="B21" s="10">
        <v>3.8</v>
      </c>
      <c r="C21" s="10">
        <v>1.5</v>
      </c>
      <c r="D21" s="10">
        <v>0.3</v>
      </c>
      <c r="E21" s="2" t="s">
        <v>0</v>
      </c>
      <c r="H21" s="10">
        <v>5.6</v>
      </c>
      <c r="I21" s="10">
        <v>2.5</v>
      </c>
      <c r="J21" s="10">
        <v>3.9</v>
      </c>
      <c r="K21" s="10">
        <v>1.1000000000000001</v>
      </c>
      <c r="L21" s="2" t="s">
        <v>1</v>
      </c>
      <c r="O21" s="10">
        <v>6</v>
      </c>
      <c r="P21" s="10">
        <v>2.2000000000000002</v>
      </c>
      <c r="Q21" s="10">
        <v>5</v>
      </c>
      <c r="R21" s="10">
        <v>1.5</v>
      </c>
      <c r="S21" s="2" t="s">
        <v>2</v>
      </c>
    </row>
    <row r="22" spans="1:19" x14ac:dyDescent="0.2">
      <c r="A22" s="10">
        <v>5.4</v>
      </c>
      <c r="B22" s="10">
        <v>3.4</v>
      </c>
      <c r="C22" s="10">
        <v>1.7</v>
      </c>
      <c r="D22" s="10">
        <v>0.2</v>
      </c>
      <c r="E22" s="2" t="s">
        <v>0</v>
      </c>
      <c r="H22" s="10">
        <v>5.9</v>
      </c>
      <c r="I22" s="10">
        <v>3.2</v>
      </c>
      <c r="J22" s="10">
        <v>4.8</v>
      </c>
      <c r="K22" s="10">
        <v>1.8</v>
      </c>
      <c r="L22" s="2" t="s">
        <v>1</v>
      </c>
      <c r="O22" s="10">
        <v>6.9</v>
      </c>
      <c r="P22" s="10">
        <v>3.2</v>
      </c>
      <c r="Q22" s="10">
        <v>5.7</v>
      </c>
      <c r="R22" s="10">
        <v>2.2999999999999998</v>
      </c>
      <c r="S22" s="2" t="s">
        <v>2</v>
      </c>
    </row>
    <row r="23" spans="1:19" x14ac:dyDescent="0.2">
      <c r="A23" s="10">
        <v>5.0999999999999996</v>
      </c>
      <c r="B23" s="10">
        <v>3.7</v>
      </c>
      <c r="C23" s="10">
        <v>1.5</v>
      </c>
      <c r="D23" s="10">
        <v>0.4</v>
      </c>
      <c r="E23" s="2" t="s">
        <v>0</v>
      </c>
      <c r="H23" s="10">
        <v>6.1</v>
      </c>
      <c r="I23" s="10">
        <v>2.8</v>
      </c>
      <c r="J23" s="10">
        <v>4</v>
      </c>
      <c r="K23" s="10">
        <v>1.3</v>
      </c>
      <c r="L23" s="2" t="s">
        <v>1</v>
      </c>
      <c r="O23" s="10">
        <v>5.6</v>
      </c>
      <c r="P23" s="10">
        <v>2.8</v>
      </c>
      <c r="Q23" s="10">
        <v>4.9000000000000004</v>
      </c>
      <c r="R23" s="10">
        <v>2</v>
      </c>
      <c r="S23" s="2" t="s">
        <v>2</v>
      </c>
    </row>
    <row r="24" spans="1:19" x14ac:dyDescent="0.2">
      <c r="A24" s="10">
        <v>4.5999999999999996</v>
      </c>
      <c r="B24" s="10">
        <v>3.6</v>
      </c>
      <c r="C24" s="10">
        <v>1</v>
      </c>
      <c r="D24" s="10">
        <v>0.2</v>
      </c>
      <c r="E24" s="2" t="s">
        <v>0</v>
      </c>
      <c r="H24" s="10">
        <v>6.3</v>
      </c>
      <c r="I24" s="10">
        <v>2.5</v>
      </c>
      <c r="J24" s="10">
        <v>4.9000000000000004</v>
      </c>
      <c r="K24" s="10">
        <v>1.5</v>
      </c>
      <c r="L24" s="2" t="s">
        <v>1</v>
      </c>
      <c r="O24" s="10">
        <v>7.7</v>
      </c>
      <c r="P24" s="10">
        <v>2.8</v>
      </c>
      <c r="Q24" s="10">
        <v>6.7</v>
      </c>
      <c r="R24" s="10">
        <v>2</v>
      </c>
      <c r="S24" s="2" t="s">
        <v>2</v>
      </c>
    </row>
    <row r="25" spans="1:19" x14ac:dyDescent="0.2">
      <c r="A25" s="10">
        <v>5.0999999999999996</v>
      </c>
      <c r="B25" s="10">
        <v>3.3</v>
      </c>
      <c r="C25" s="10">
        <v>1.7</v>
      </c>
      <c r="D25" s="10">
        <v>0.5</v>
      </c>
      <c r="E25" s="2" t="s">
        <v>0</v>
      </c>
      <c r="H25" s="10">
        <v>6.1</v>
      </c>
      <c r="I25" s="10">
        <v>2.8</v>
      </c>
      <c r="J25" s="10">
        <v>4.7</v>
      </c>
      <c r="K25" s="10">
        <v>1.2</v>
      </c>
      <c r="L25" s="2" t="s">
        <v>1</v>
      </c>
      <c r="O25" s="10">
        <v>6.3</v>
      </c>
      <c r="P25" s="10">
        <v>2.7</v>
      </c>
      <c r="Q25" s="10">
        <v>4.9000000000000004</v>
      </c>
      <c r="R25" s="10">
        <v>1.8</v>
      </c>
      <c r="S25" s="2" t="s">
        <v>2</v>
      </c>
    </row>
    <row r="26" spans="1:19" x14ac:dyDescent="0.2">
      <c r="A26" s="10">
        <v>4.8</v>
      </c>
      <c r="B26" s="10">
        <v>3.4</v>
      </c>
      <c r="C26" s="10">
        <v>1.9</v>
      </c>
      <c r="D26" s="10">
        <v>0.2</v>
      </c>
      <c r="E26" s="2" t="s">
        <v>0</v>
      </c>
      <c r="H26" s="10">
        <v>6.4</v>
      </c>
      <c r="I26" s="10">
        <v>2.9</v>
      </c>
      <c r="J26" s="10">
        <v>4.3</v>
      </c>
      <c r="K26" s="10">
        <v>1.3</v>
      </c>
      <c r="L26" s="2" t="s">
        <v>1</v>
      </c>
      <c r="O26" s="10">
        <v>6.7</v>
      </c>
      <c r="P26" s="10">
        <v>3.3</v>
      </c>
      <c r="Q26" s="10">
        <v>5.7</v>
      </c>
      <c r="R26" s="10">
        <v>2.1</v>
      </c>
      <c r="S26" s="2" t="s">
        <v>2</v>
      </c>
    </row>
    <row r="27" spans="1:19" x14ac:dyDescent="0.2">
      <c r="A27" s="10">
        <v>5</v>
      </c>
      <c r="B27" s="10">
        <v>3</v>
      </c>
      <c r="C27" s="10">
        <v>1.6</v>
      </c>
      <c r="D27" s="10">
        <v>0.2</v>
      </c>
      <c r="E27" s="2" t="s">
        <v>0</v>
      </c>
      <c r="H27" s="10">
        <v>6.6</v>
      </c>
      <c r="I27" s="10">
        <v>3</v>
      </c>
      <c r="J27" s="10">
        <v>4.4000000000000004</v>
      </c>
      <c r="K27" s="10">
        <v>1.4</v>
      </c>
      <c r="L27" s="2" t="s">
        <v>1</v>
      </c>
      <c r="O27" s="10">
        <v>7.2</v>
      </c>
      <c r="P27" s="10">
        <v>3.2</v>
      </c>
      <c r="Q27" s="10">
        <v>6</v>
      </c>
      <c r="R27" s="10">
        <v>1.8</v>
      </c>
      <c r="S27" s="2" t="s">
        <v>2</v>
      </c>
    </row>
    <row r="28" spans="1:19" x14ac:dyDescent="0.2">
      <c r="A28" s="10">
        <v>5</v>
      </c>
      <c r="B28" s="10">
        <v>3.4</v>
      </c>
      <c r="C28" s="10">
        <v>1.6</v>
      </c>
      <c r="D28" s="10">
        <v>0.4</v>
      </c>
      <c r="E28" s="2" t="s">
        <v>0</v>
      </c>
      <c r="H28" s="10">
        <v>6.8</v>
      </c>
      <c r="I28" s="10">
        <v>2.8</v>
      </c>
      <c r="J28" s="10">
        <v>4.8</v>
      </c>
      <c r="K28" s="10">
        <v>1.4</v>
      </c>
      <c r="L28" s="2" t="s">
        <v>1</v>
      </c>
      <c r="O28" s="10">
        <v>6.2</v>
      </c>
      <c r="P28" s="10">
        <v>2.8</v>
      </c>
      <c r="Q28" s="10">
        <v>4.8</v>
      </c>
      <c r="R28" s="10">
        <v>1.8</v>
      </c>
      <c r="S28" s="2" t="s">
        <v>2</v>
      </c>
    </row>
    <row r="29" spans="1:19" x14ac:dyDescent="0.2">
      <c r="A29" s="10">
        <v>5.2</v>
      </c>
      <c r="B29" s="10">
        <v>3.5</v>
      </c>
      <c r="C29" s="10">
        <v>1.5</v>
      </c>
      <c r="D29" s="10">
        <v>0.2</v>
      </c>
      <c r="E29" s="2" t="s">
        <v>0</v>
      </c>
      <c r="H29" s="10">
        <v>6.7</v>
      </c>
      <c r="I29" s="10">
        <v>3</v>
      </c>
      <c r="J29" s="10">
        <v>5</v>
      </c>
      <c r="K29" s="10">
        <v>1.7</v>
      </c>
      <c r="L29" s="2" t="s">
        <v>1</v>
      </c>
      <c r="O29" s="10">
        <v>6.1</v>
      </c>
      <c r="P29" s="10">
        <v>3</v>
      </c>
      <c r="Q29" s="10">
        <v>4.9000000000000004</v>
      </c>
      <c r="R29" s="10">
        <v>1.8</v>
      </c>
      <c r="S29" s="2" t="s">
        <v>2</v>
      </c>
    </row>
    <row r="30" spans="1:19" x14ac:dyDescent="0.2">
      <c r="A30" s="10">
        <v>5.2</v>
      </c>
      <c r="B30" s="10">
        <v>3.4</v>
      </c>
      <c r="C30" s="10">
        <v>1.4</v>
      </c>
      <c r="D30" s="10">
        <v>0.2</v>
      </c>
      <c r="E30" s="2" t="s">
        <v>0</v>
      </c>
      <c r="H30" s="10">
        <v>6</v>
      </c>
      <c r="I30" s="10">
        <v>2.9</v>
      </c>
      <c r="J30" s="10">
        <v>4.5</v>
      </c>
      <c r="K30" s="10">
        <v>1.5</v>
      </c>
      <c r="L30" s="2" t="s">
        <v>1</v>
      </c>
      <c r="O30" s="10">
        <v>6.4</v>
      </c>
      <c r="P30" s="10">
        <v>2.8</v>
      </c>
      <c r="Q30" s="10">
        <v>5.6</v>
      </c>
      <c r="R30" s="10">
        <v>2.1</v>
      </c>
      <c r="S30" s="2" t="s">
        <v>2</v>
      </c>
    </row>
    <row r="31" spans="1:19" x14ac:dyDescent="0.2">
      <c r="A31" s="10">
        <v>4.7</v>
      </c>
      <c r="B31" s="10">
        <v>3.2</v>
      </c>
      <c r="C31" s="10">
        <v>1.6</v>
      </c>
      <c r="D31" s="10">
        <v>0.2</v>
      </c>
      <c r="E31" s="2" t="s">
        <v>0</v>
      </c>
      <c r="H31" s="10">
        <v>5.7</v>
      </c>
      <c r="I31" s="10">
        <v>2.6</v>
      </c>
      <c r="J31" s="10">
        <v>3.5</v>
      </c>
      <c r="K31" s="10">
        <v>1</v>
      </c>
      <c r="L31" s="2" t="s">
        <v>1</v>
      </c>
      <c r="O31" s="10">
        <v>7.2</v>
      </c>
      <c r="P31" s="10">
        <v>3</v>
      </c>
      <c r="Q31" s="10">
        <v>5.8</v>
      </c>
      <c r="R31" s="10">
        <v>1.6</v>
      </c>
      <c r="S31" s="2" t="s">
        <v>2</v>
      </c>
    </row>
    <row r="32" spans="1:19" x14ac:dyDescent="0.2">
      <c r="A32" s="10">
        <v>4.8</v>
      </c>
      <c r="B32" s="10">
        <v>3.1</v>
      </c>
      <c r="C32" s="10">
        <v>1.6</v>
      </c>
      <c r="D32" s="10">
        <v>0.2</v>
      </c>
      <c r="E32" s="2" t="s">
        <v>0</v>
      </c>
      <c r="H32" s="10">
        <v>5.5</v>
      </c>
      <c r="I32" s="10">
        <v>2.4</v>
      </c>
      <c r="J32" s="10">
        <v>3.8</v>
      </c>
      <c r="K32" s="10">
        <v>1.1000000000000001</v>
      </c>
      <c r="L32" s="2" t="s">
        <v>1</v>
      </c>
      <c r="O32" s="10">
        <v>7.4</v>
      </c>
      <c r="P32" s="10">
        <v>2.8</v>
      </c>
      <c r="Q32" s="10">
        <v>6.1</v>
      </c>
      <c r="R32" s="10">
        <v>1.9</v>
      </c>
      <c r="S32" s="2" t="s">
        <v>2</v>
      </c>
    </row>
    <row r="33" spans="1:19" x14ac:dyDescent="0.2">
      <c r="A33" s="10">
        <v>5.4</v>
      </c>
      <c r="B33" s="10">
        <v>3.4</v>
      </c>
      <c r="C33" s="10">
        <v>1.5</v>
      </c>
      <c r="D33" s="10">
        <v>0.4</v>
      </c>
      <c r="E33" s="2" t="s">
        <v>0</v>
      </c>
      <c r="H33" s="10">
        <v>5.5</v>
      </c>
      <c r="I33" s="10">
        <v>2.4</v>
      </c>
      <c r="J33" s="10">
        <v>3.7</v>
      </c>
      <c r="K33" s="10">
        <v>1</v>
      </c>
      <c r="L33" s="2" t="s">
        <v>1</v>
      </c>
      <c r="O33" s="10">
        <v>7.9</v>
      </c>
      <c r="P33" s="10">
        <v>3.8</v>
      </c>
      <c r="Q33" s="10">
        <v>6.4</v>
      </c>
      <c r="R33" s="10">
        <v>2</v>
      </c>
      <c r="S33" s="2" t="s">
        <v>2</v>
      </c>
    </row>
    <row r="34" spans="1:19" x14ac:dyDescent="0.2">
      <c r="A34" s="10">
        <v>5.2</v>
      </c>
      <c r="B34" s="10">
        <v>4.0999999999999996</v>
      </c>
      <c r="C34" s="10">
        <v>1.5</v>
      </c>
      <c r="D34" s="10">
        <v>0.1</v>
      </c>
      <c r="E34" s="2" t="s">
        <v>0</v>
      </c>
      <c r="H34" s="10">
        <v>5.8</v>
      </c>
      <c r="I34" s="10">
        <v>2.7</v>
      </c>
      <c r="J34" s="10">
        <v>3.9</v>
      </c>
      <c r="K34" s="10">
        <v>1.2</v>
      </c>
      <c r="L34" s="2" t="s">
        <v>1</v>
      </c>
      <c r="O34" s="10">
        <v>6.4</v>
      </c>
      <c r="P34" s="10">
        <v>2.8</v>
      </c>
      <c r="Q34" s="10">
        <v>5.6</v>
      </c>
      <c r="R34" s="10">
        <v>2.2000000000000002</v>
      </c>
      <c r="S34" s="2" t="s">
        <v>2</v>
      </c>
    </row>
    <row r="35" spans="1:19" x14ac:dyDescent="0.2">
      <c r="A35" s="10">
        <v>5.5</v>
      </c>
      <c r="B35" s="10">
        <v>4.2</v>
      </c>
      <c r="C35" s="10">
        <v>1.4</v>
      </c>
      <c r="D35" s="10">
        <v>0.2</v>
      </c>
      <c r="E35" s="2" t="s">
        <v>0</v>
      </c>
      <c r="H35" s="10">
        <v>6</v>
      </c>
      <c r="I35" s="10">
        <v>2.7</v>
      </c>
      <c r="J35" s="10">
        <v>5.0999999999999996</v>
      </c>
      <c r="K35" s="10">
        <v>1.6</v>
      </c>
      <c r="L35" s="2" t="s">
        <v>1</v>
      </c>
      <c r="O35" s="10">
        <v>6.3</v>
      </c>
      <c r="P35" s="10">
        <v>2.8</v>
      </c>
      <c r="Q35" s="10">
        <v>5.0999999999999996</v>
      </c>
      <c r="R35" s="10">
        <v>1.5</v>
      </c>
      <c r="S35" s="2" t="s">
        <v>2</v>
      </c>
    </row>
    <row r="36" spans="1:19" x14ac:dyDescent="0.2">
      <c r="A36" s="10">
        <v>4.9000000000000004</v>
      </c>
      <c r="B36" s="10">
        <v>3.1</v>
      </c>
      <c r="C36" s="10">
        <v>1.5</v>
      </c>
      <c r="D36" s="10">
        <v>0.2</v>
      </c>
      <c r="E36" s="2" t="s">
        <v>0</v>
      </c>
      <c r="H36" s="10">
        <v>5.4</v>
      </c>
      <c r="I36" s="10">
        <v>3</v>
      </c>
      <c r="J36" s="10">
        <v>4.5</v>
      </c>
      <c r="K36" s="10">
        <v>1.5</v>
      </c>
      <c r="L36" s="2" t="s">
        <v>1</v>
      </c>
      <c r="O36" s="10">
        <v>6.1</v>
      </c>
      <c r="P36" s="10">
        <v>2.6</v>
      </c>
      <c r="Q36" s="10">
        <v>5.6</v>
      </c>
      <c r="R36" s="10">
        <v>1.4</v>
      </c>
      <c r="S36" s="2" t="s">
        <v>2</v>
      </c>
    </row>
    <row r="37" spans="1:19" x14ac:dyDescent="0.2">
      <c r="A37" s="10">
        <v>5</v>
      </c>
      <c r="B37" s="10">
        <v>3.2</v>
      </c>
      <c r="C37" s="10">
        <v>1.2</v>
      </c>
      <c r="D37" s="10">
        <v>0.2</v>
      </c>
      <c r="E37" s="2" t="s">
        <v>0</v>
      </c>
      <c r="H37" s="10">
        <v>6</v>
      </c>
      <c r="I37" s="10">
        <v>3.4</v>
      </c>
      <c r="J37" s="10">
        <v>4.5</v>
      </c>
      <c r="K37" s="10">
        <v>1.6</v>
      </c>
      <c r="L37" s="2" t="s">
        <v>1</v>
      </c>
      <c r="O37" s="10">
        <v>7.7</v>
      </c>
      <c r="P37" s="10">
        <v>3</v>
      </c>
      <c r="Q37" s="10">
        <v>6.1</v>
      </c>
      <c r="R37" s="10">
        <v>2.2999999999999998</v>
      </c>
      <c r="S37" s="2" t="s">
        <v>2</v>
      </c>
    </row>
    <row r="38" spans="1:19" x14ac:dyDescent="0.2">
      <c r="A38" s="10">
        <v>5.5</v>
      </c>
      <c r="B38" s="10">
        <v>3.5</v>
      </c>
      <c r="C38" s="10">
        <v>1.3</v>
      </c>
      <c r="D38" s="10">
        <v>0.2</v>
      </c>
      <c r="E38" s="2" t="s">
        <v>0</v>
      </c>
      <c r="H38" s="10">
        <v>6.7</v>
      </c>
      <c r="I38" s="10">
        <v>3.1</v>
      </c>
      <c r="J38" s="10">
        <v>4.7</v>
      </c>
      <c r="K38" s="10">
        <v>1.5</v>
      </c>
      <c r="L38" s="2" t="s">
        <v>1</v>
      </c>
      <c r="O38" s="10">
        <v>6.3</v>
      </c>
      <c r="P38" s="10">
        <v>3.4</v>
      </c>
      <c r="Q38" s="10">
        <v>5.6</v>
      </c>
      <c r="R38" s="10">
        <v>2.4</v>
      </c>
      <c r="S38" s="2" t="s">
        <v>2</v>
      </c>
    </row>
    <row r="39" spans="1:19" x14ac:dyDescent="0.2">
      <c r="A39" s="10">
        <v>4.9000000000000004</v>
      </c>
      <c r="B39" s="10">
        <v>3.6</v>
      </c>
      <c r="C39" s="10">
        <v>1.4</v>
      </c>
      <c r="D39" s="10">
        <v>0.1</v>
      </c>
      <c r="E39" s="2" t="s">
        <v>0</v>
      </c>
      <c r="H39" s="10">
        <v>6.3</v>
      </c>
      <c r="I39" s="10">
        <v>2.2999999999999998</v>
      </c>
      <c r="J39" s="10">
        <v>4.4000000000000004</v>
      </c>
      <c r="K39" s="10">
        <v>1.3</v>
      </c>
      <c r="L39" s="2" t="s">
        <v>1</v>
      </c>
      <c r="O39" s="10">
        <v>6.4</v>
      </c>
      <c r="P39" s="10">
        <v>3.1</v>
      </c>
      <c r="Q39" s="10">
        <v>5.5</v>
      </c>
      <c r="R39" s="10">
        <v>1.8</v>
      </c>
      <c r="S39" s="2" t="s">
        <v>2</v>
      </c>
    </row>
    <row r="40" spans="1:19" x14ac:dyDescent="0.2">
      <c r="A40" s="10">
        <v>4.4000000000000004</v>
      </c>
      <c r="B40" s="10">
        <v>3</v>
      </c>
      <c r="C40" s="10">
        <v>1.3</v>
      </c>
      <c r="D40" s="10">
        <v>0.2</v>
      </c>
      <c r="E40" s="2" t="s">
        <v>0</v>
      </c>
      <c r="H40" s="10">
        <v>5.6</v>
      </c>
      <c r="I40" s="10">
        <v>3</v>
      </c>
      <c r="J40" s="10">
        <v>4.0999999999999996</v>
      </c>
      <c r="K40" s="10">
        <v>1.3</v>
      </c>
      <c r="L40" s="2" t="s">
        <v>1</v>
      </c>
      <c r="O40" s="10">
        <v>6</v>
      </c>
      <c r="P40" s="10">
        <v>3</v>
      </c>
      <c r="Q40" s="10">
        <v>4.8</v>
      </c>
      <c r="R40" s="10">
        <v>1.8</v>
      </c>
      <c r="S40" s="2" t="s">
        <v>2</v>
      </c>
    </row>
    <row r="41" spans="1:19" x14ac:dyDescent="0.2">
      <c r="A41" s="10">
        <v>5.0999999999999996</v>
      </c>
      <c r="B41" s="10">
        <v>3.4</v>
      </c>
      <c r="C41" s="10">
        <v>1.5</v>
      </c>
      <c r="D41" s="10">
        <v>0.2</v>
      </c>
      <c r="E41" s="2" t="s">
        <v>0</v>
      </c>
      <c r="H41" s="10">
        <v>5.5</v>
      </c>
      <c r="I41" s="10">
        <v>2.5</v>
      </c>
      <c r="J41" s="10">
        <v>4</v>
      </c>
      <c r="K41" s="10">
        <v>1.3</v>
      </c>
      <c r="L41" s="2" t="s">
        <v>1</v>
      </c>
      <c r="O41" s="10">
        <v>6.9</v>
      </c>
      <c r="P41" s="10">
        <v>3.1</v>
      </c>
      <c r="Q41" s="10">
        <v>5.4</v>
      </c>
      <c r="R41" s="10">
        <v>2.1</v>
      </c>
      <c r="S41" s="2" t="s">
        <v>2</v>
      </c>
    </row>
    <row r="42" spans="1:19" x14ac:dyDescent="0.2">
      <c r="A42" s="10">
        <v>5</v>
      </c>
      <c r="B42" s="10">
        <v>3.5</v>
      </c>
      <c r="C42" s="10">
        <v>1.3</v>
      </c>
      <c r="D42" s="10">
        <v>0.3</v>
      </c>
      <c r="E42" s="2" t="s">
        <v>0</v>
      </c>
      <c r="H42" s="10">
        <v>5.5</v>
      </c>
      <c r="I42" s="10">
        <v>2.6</v>
      </c>
      <c r="J42" s="10">
        <v>4.4000000000000004</v>
      </c>
      <c r="K42" s="10">
        <v>1.2</v>
      </c>
      <c r="L42" s="2" t="s">
        <v>1</v>
      </c>
      <c r="O42" s="10">
        <v>6.7</v>
      </c>
      <c r="P42" s="10">
        <v>3.1</v>
      </c>
      <c r="Q42" s="10">
        <v>5.6</v>
      </c>
      <c r="R42" s="10">
        <v>2.4</v>
      </c>
      <c r="S42" s="2" t="s">
        <v>2</v>
      </c>
    </row>
    <row r="43" spans="1:19" x14ac:dyDescent="0.2">
      <c r="A43" s="10">
        <v>4.5</v>
      </c>
      <c r="B43" s="10">
        <v>2.2999999999999998</v>
      </c>
      <c r="C43" s="10">
        <v>1.3</v>
      </c>
      <c r="D43" s="10">
        <v>0.3</v>
      </c>
      <c r="E43" s="2" t="s">
        <v>0</v>
      </c>
      <c r="H43" s="10">
        <v>6.1</v>
      </c>
      <c r="I43" s="10">
        <v>3</v>
      </c>
      <c r="J43" s="10">
        <v>4.5999999999999996</v>
      </c>
      <c r="K43" s="10">
        <v>1.4</v>
      </c>
      <c r="L43" s="2" t="s">
        <v>1</v>
      </c>
      <c r="O43" s="10">
        <v>6.9</v>
      </c>
      <c r="P43" s="10">
        <v>3.1</v>
      </c>
      <c r="Q43" s="10">
        <v>5.0999999999999996</v>
      </c>
      <c r="R43" s="10">
        <v>2.2999999999999998</v>
      </c>
      <c r="S43" s="2" t="s">
        <v>2</v>
      </c>
    </row>
    <row r="44" spans="1:19" x14ac:dyDescent="0.2">
      <c r="A44" s="10">
        <v>4.4000000000000004</v>
      </c>
      <c r="B44" s="10">
        <v>3.2</v>
      </c>
      <c r="C44" s="10">
        <v>1.3</v>
      </c>
      <c r="D44" s="10">
        <v>0.2</v>
      </c>
      <c r="E44" s="2" t="s">
        <v>0</v>
      </c>
      <c r="H44" s="10">
        <v>5.8</v>
      </c>
      <c r="I44" s="10">
        <v>2.6</v>
      </c>
      <c r="J44" s="10">
        <v>4</v>
      </c>
      <c r="K44" s="10">
        <v>1.2</v>
      </c>
      <c r="L44" s="2" t="s">
        <v>1</v>
      </c>
      <c r="O44" s="10">
        <v>5.8</v>
      </c>
      <c r="P44" s="10">
        <v>2.7</v>
      </c>
      <c r="Q44" s="10">
        <v>5.0999999999999996</v>
      </c>
      <c r="R44" s="10">
        <v>1.9</v>
      </c>
      <c r="S44" s="2" t="s">
        <v>2</v>
      </c>
    </row>
    <row r="45" spans="1:19" x14ac:dyDescent="0.2">
      <c r="A45" s="10">
        <v>5</v>
      </c>
      <c r="B45" s="10">
        <v>3.5</v>
      </c>
      <c r="C45" s="10">
        <v>1.6</v>
      </c>
      <c r="D45" s="10">
        <v>0.6</v>
      </c>
      <c r="E45" s="2" t="s">
        <v>0</v>
      </c>
      <c r="H45" s="10">
        <v>5</v>
      </c>
      <c r="I45" s="10">
        <v>2.2999999999999998</v>
      </c>
      <c r="J45" s="10">
        <v>3.3</v>
      </c>
      <c r="K45" s="10">
        <v>1</v>
      </c>
      <c r="L45" s="2" t="s">
        <v>1</v>
      </c>
      <c r="O45" s="10">
        <v>6.8</v>
      </c>
      <c r="P45" s="10">
        <v>3.2</v>
      </c>
      <c r="Q45" s="10">
        <v>5.9</v>
      </c>
      <c r="R45" s="10">
        <v>2.2999999999999998</v>
      </c>
      <c r="S45" s="2" t="s">
        <v>2</v>
      </c>
    </row>
    <row r="46" spans="1:19" x14ac:dyDescent="0.2">
      <c r="A46" s="10">
        <v>5.0999999999999996</v>
      </c>
      <c r="B46" s="10">
        <v>3.8</v>
      </c>
      <c r="C46" s="10">
        <v>1.9</v>
      </c>
      <c r="D46" s="10">
        <v>0.4</v>
      </c>
      <c r="E46" s="2" t="s">
        <v>0</v>
      </c>
      <c r="H46" s="10">
        <v>5.6</v>
      </c>
      <c r="I46" s="10">
        <v>2.7</v>
      </c>
      <c r="J46" s="10">
        <v>4.2</v>
      </c>
      <c r="K46" s="10">
        <v>1.3</v>
      </c>
      <c r="L46" s="2" t="s">
        <v>1</v>
      </c>
      <c r="O46" s="10">
        <v>6.7</v>
      </c>
      <c r="P46" s="10">
        <v>3.3</v>
      </c>
      <c r="Q46" s="10">
        <v>5.7</v>
      </c>
      <c r="R46" s="10">
        <v>2.5</v>
      </c>
      <c r="S46" s="2" t="s">
        <v>2</v>
      </c>
    </row>
    <row r="47" spans="1:19" x14ac:dyDescent="0.2">
      <c r="A47" s="10">
        <v>4.8</v>
      </c>
      <c r="B47" s="10">
        <v>3</v>
      </c>
      <c r="C47" s="10">
        <v>1.4</v>
      </c>
      <c r="D47" s="10">
        <v>0.3</v>
      </c>
      <c r="E47" s="2" t="s">
        <v>0</v>
      </c>
      <c r="H47" s="10">
        <v>5.7</v>
      </c>
      <c r="I47" s="10">
        <v>3</v>
      </c>
      <c r="J47" s="10">
        <v>4.2</v>
      </c>
      <c r="K47" s="10">
        <v>1.2</v>
      </c>
      <c r="L47" s="2" t="s">
        <v>1</v>
      </c>
      <c r="O47" s="10">
        <v>6.7</v>
      </c>
      <c r="P47" s="10">
        <v>3</v>
      </c>
      <c r="Q47" s="10">
        <v>5.2</v>
      </c>
      <c r="R47" s="10">
        <v>2.2999999999999998</v>
      </c>
      <c r="S47" s="2" t="s">
        <v>2</v>
      </c>
    </row>
    <row r="48" spans="1:19" x14ac:dyDescent="0.2">
      <c r="A48" s="10">
        <v>5.0999999999999996</v>
      </c>
      <c r="B48" s="10">
        <v>3.8</v>
      </c>
      <c r="C48" s="10">
        <v>1.6</v>
      </c>
      <c r="D48" s="10">
        <v>0.2</v>
      </c>
      <c r="E48" s="2" t="s">
        <v>0</v>
      </c>
      <c r="H48" s="10">
        <v>5.7</v>
      </c>
      <c r="I48" s="10">
        <v>2.9</v>
      </c>
      <c r="J48" s="10">
        <v>4.2</v>
      </c>
      <c r="K48" s="10">
        <v>1.3</v>
      </c>
      <c r="L48" s="2" t="s">
        <v>1</v>
      </c>
      <c r="O48" s="10">
        <v>6.3</v>
      </c>
      <c r="P48" s="10">
        <v>2.5</v>
      </c>
      <c r="Q48" s="10">
        <v>5</v>
      </c>
      <c r="R48" s="10">
        <v>1.9</v>
      </c>
      <c r="S48" s="2" t="s">
        <v>2</v>
      </c>
    </row>
    <row r="49" spans="1:19" x14ac:dyDescent="0.2">
      <c r="A49" s="10">
        <v>4.5999999999999996</v>
      </c>
      <c r="B49" s="10">
        <v>3.2</v>
      </c>
      <c r="C49" s="10">
        <v>1.4</v>
      </c>
      <c r="D49" s="10">
        <v>0.2</v>
      </c>
      <c r="E49" s="2" t="s">
        <v>0</v>
      </c>
      <c r="H49" s="10">
        <v>6.2</v>
      </c>
      <c r="I49" s="10">
        <v>2.9</v>
      </c>
      <c r="J49" s="10">
        <v>4.3</v>
      </c>
      <c r="K49" s="10">
        <v>1.3</v>
      </c>
      <c r="L49" s="2" t="s">
        <v>1</v>
      </c>
      <c r="O49" s="10">
        <v>6.5</v>
      </c>
      <c r="P49" s="10">
        <v>3</v>
      </c>
      <c r="Q49" s="10">
        <v>5.2</v>
      </c>
      <c r="R49" s="10">
        <v>2</v>
      </c>
      <c r="S49" s="2" t="s">
        <v>2</v>
      </c>
    </row>
    <row r="50" spans="1:19" x14ac:dyDescent="0.2">
      <c r="A50" s="10">
        <v>5.3</v>
      </c>
      <c r="B50" s="10">
        <v>3.7</v>
      </c>
      <c r="C50" s="10">
        <v>1.5</v>
      </c>
      <c r="D50" s="10">
        <v>0.2</v>
      </c>
      <c r="E50" s="2" t="s">
        <v>0</v>
      </c>
      <c r="H50" s="10">
        <v>5.0999999999999996</v>
      </c>
      <c r="I50" s="10">
        <v>2.5</v>
      </c>
      <c r="J50" s="10">
        <v>3</v>
      </c>
      <c r="K50" s="10">
        <v>1.1000000000000001</v>
      </c>
      <c r="L50" s="2" t="s">
        <v>1</v>
      </c>
      <c r="O50" s="10">
        <v>6.2</v>
      </c>
      <c r="P50" s="10">
        <v>3.4</v>
      </c>
      <c r="Q50" s="10">
        <v>5.4</v>
      </c>
      <c r="R50" s="10">
        <v>2.2999999999999998</v>
      </c>
      <c r="S50" s="2" t="s">
        <v>2</v>
      </c>
    </row>
    <row r="51" spans="1:19" x14ac:dyDescent="0.2">
      <c r="A51" s="10">
        <v>5</v>
      </c>
      <c r="B51" s="10">
        <v>3.3</v>
      </c>
      <c r="C51" s="10">
        <v>1.4</v>
      </c>
      <c r="D51" s="10">
        <v>0.2</v>
      </c>
      <c r="E51" s="2" t="s">
        <v>0</v>
      </c>
      <c r="H51" s="10">
        <v>5.7</v>
      </c>
      <c r="I51" s="10">
        <v>2.8</v>
      </c>
      <c r="J51" s="10">
        <v>4.0999999999999996</v>
      </c>
      <c r="K51" s="10">
        <v>1.3</v>
      </c>
      <c r="L51" s="2" t="s">
        <v>1</v>
      </c>
      <c r="O51" s="10">
        <v>5.9</v>
      </c>
      <c r="P51" s="10">
        <v>3</v>
      </c>
      <c r="Q51" s="10">
        <v>5.0999999999999996</v>
      </c>
      <c r="R51" s="10">
        <v>1.8</v>
      </c>
      <c r="S51" s="2" t="s">
        <v>2</v>
      </c>
    </row>
    <row r="52" spans="1:19" x14ac:dyDescent="0.2">
      <c r="A52" s="1"/>
      <c r="B52" s="1"/>
      <c r="C52" s="1"/>
      <c r="D52" s="1"/>
      <c r="E52" s="1"/>
    </row>
    <row r="53" spans="1:19" x14ac:dyDescent="0.2">
      <c r="A53" s="1"/>
      <c r="B53" s="1"/>
      <c r="C53" s="1"/>
      <c r="D53" s="1"/>
      <c r="E53" s="1"/>
    </row>
    <row r="54" spans="1:19" x14ac:dyDescent="0.2">
      <c r="A54" s="12" t="s">
        <v>8</v>
      </c>
      <c r="B54" s="13"/>
      <c r="C54" s="13"/>
      <c r="D54" s="13"/>
      <c r="E54" s="13"/>
      <c r="H54" s="12" t="s">
        <v>15</v>
      </c>
      <c r="I54" s="13"/>
      <c r="J54" s="13"/>
      <c r="K54" s="13"/>
      <c r="L54" s="13"/>
      <c r="O54" s="12" t="s">
        <v>16</v>
      </c>
      <c r="P54" s="13"/>
      <c r="Q54" s="13"/>
      <c r="R54" s="13"/>
      <c r="S54" s="13"/>
    </row>
    <row r="55" spans="1:19" x14ac:dyDescent="0.2">
      <c r="A55" s="13"/>
      <c r="B55" s="13"/>
      <c r="C55" s="13"/>
      <c r="D55" s="13"/>
      <c r="E55" s="13"/>
      <c r="H55" s="13"/>
      <c r="I55" s="13"/>
      <c r="J55" s="13"/>
      <c r="K55" s="13"/>
      <c r="L55" s="13"/>
      <c r="O55" s="13"/>
      <c r="P55" s="13"/>
      <c r="Q55" s="13"/>
      <c r="R55" s="13"/>
      <c r="S55" s="13"/>
    </row>
    <row r="56" spans="1:19" x14ac:dyDescent="0.2">
      <c r="A56" s="13"/>
      <c r="B56" s="13"/>
      <c r="C56" s="13"/>
      <c r="D56" s="13"/>
      <c r="E56" s="13"/>
      <c r="H56" s="13"/>
      <c r="I56" s="13"/>
      <c r="J56" s="13"/>
      <c r="K56" s="13"/>
      <c r="L56" s="13"/>
      <c r="O56" s="13"/>
      <c r="P56" s="13"/>
      <c r="Q56" s="13"/>
      <c r="R56" s="13"/>
      <c r="S56" s="13"/>
    </row>
    <row r="57" spans="1:19" x14ac:dyDescent="0.2">
      <c r="A57" s="13"/>
      <c r="B57" s="13"/>
      <c r="C57" s="13"/>
      <c r="D57" s="13"/>
      <c r="E57" s="13"/>
      <c r="H57" s="13"/>
      <c r="I57" s="13"/>
      <c r="J57" s="13"/>
      <c r="K57" s="13"/>
      <c r="L57" s="13"/>
      <c r="O57" s="13"/>
      <c r="P57" s="13"/>
      <c r="Q57" s="13"/>
      <c r="R57" s="13"/>
      <c r="S57" s="13"/>
    </row>
    <row r="58" spans="1:19" x14ac:dyDescent="0.2">
      <c r="A58" s="13"/>
      <c r="B58" s="14"/>
      <c r="C58" s="14"/>
      <c r="D58" s="14"/>
      <c r="E58" s="14"/>
      <c r="H58" s="13"/>
      <c r="I58" s="14"/>
      <c r="J58" s="14"/>
      <c r="K58" s="14"/>
      <c r="L58" s="14"/>
      <c r="O58" s="14"/>
      <c r="P58" s="14"/>
      <c r="Q58" s="14"/>
      <c r="R58" s="14"/>
      <c r="S58" s="14"/>
    </row>
    <row r="59" spans="1:19" x14ac:dyDescent="0.2">
      <c r="A59" s="16"/>
      <c r="B59" s="17" t="s">
        <v>3</v>
      </c>
      <c r="C59" s="18" t="s">
        <v>4</v>
      </c>
      <c r="D59" s="19" t="s">
        <v>5</v>
      </c>
      <c r="E59" s="20" t="s">
        <v>6</v>
      </c>
      <c r="H59" s="16"/>
      <c r="I59" s="25" t="s">
        <v>3</v>
      </c>
      <c r="J59" s="26" t="s">
        <v>4</v>
      </c>
      <c r="K59" s="27" t="s">
        <v>5</v>
      </c>
      <c r="L59" s="28" t="s">
        <v>6</v>
      </c>
      <c r="O59" s="16"/>
      <c r="P59" s="29" t="s">
        <v>3</v>
      </c>
      <c r="Q59" s="26" t="s">
        <v>4</v>
      </c>
      <c r="R59" s="27" t="s">
        <v>5</v>
      </c>
      <c r="S59" s="28" t="s">
        <v>6</v>
      </c>
    </row>
    <row r="60" spans="1:19" x14ac:dyDescent="0.2">
      <c r="A60" s="22" t="s">
        <v>9</v>
      </c>
      <c r="B60" s="11">
        <f>AVERAGE(A2:A51)</f>
        <v>5.0059999999999993</v>
      </c>
      <c r="C60" s="11">
        <f t="shared" ref="C60:E60" si="0">AVERAGE(B2:B51)</f>
        <v>3.4280000000000008</v>
      </c>
      <c r="D60" s="11">
        <f t="shared" si="0"/>
        <v>1.4620000000000002</v>
      </c>
      <c r="E60" s="11">
        <f t="shared" si="0"/>
        <v>0.24599999999999991</v>
      </c>
      <c r="H60" s="22" t="s">
        <v>9</v>
      </c>
      <c r="I60" s="11">
        <f>AVERAGE(H2:H51)</f>
        <v>5.9359999999999999</v>
      </c>
      <c r="J60" s="11">
        <f t="shared" ref="J60:L60" si="1">AVERAGE(I2:I51)</f>
        <v>2.7700000000000005</v>
      </c>
      <c r="K60" s="11">
        <f t="shared" si="1"/>
        <v>4.26</v>
      </c>
      <c r="L60" s="11">
        <f t="shared" si="1"/>
        <v>1.3259999999999998</v>
      </c>
      <c r="O60" s="22" t="s">
        <v>9</v>
      </c>
      <c r="P60" s="23">
        <f>AVERAGE(O2:O51)</f>
        <v>6.5879999999999983</v>
      </c>
      <c r="Q60" s="11">
        <f t="shared" ref="Q60:S60" si="2">AVERAGE(P2:P51)</f>
        <v>2.9739999999999998</v>
      </c>
      <c r="R60" s="11">
        <f t="shared" si="2"/>
        <v>5.5519999999999996</v>
      </c>
      <c r="S60" s="11">
        <f t="shared" si="2"/>
        <v>2.0259999999999998</v>
      </c>
    </row>
    <row r="61" spans="1:19" x14ac:dyDescent="0.2">
      <c r="A61" s="22" t="s">
        <v>10</v>
      </c>
      <c r="B61" s="21">
        <f>MEDIAN(A2:A51)</f>
        <v>5</v>
      </c>
      <c r="C61" s="21">
        <f t="shared" ref="C61:D61" si="3">MEDIAN(B2:B51)</f>
        <v>3.4</v>
      </c>
      <c r="D61" s="21">
        <f t="shared" si="3"/>
        <v>1.5</v>
      </c>
      <c r="E61" s="21">
        <f>MEDIAN(D2:D51)</f>
        <v>0.2</v>
      </c>
      <c r="H61" s="22" t="s">
        <v>10</v>
      </c>
      <c r="I61" s="21">
        <f>MEDIAN(H2:H51)</f>
        <v>5.9</v>
      </c>
      <c r="J61" s="21">
        <f t="shared" ref="J61:K61" si="4">MEDIAN(I2:I51)</f>
        <v>2.8</v>
      </c>
      <c r="K61" s="21">
        <f t="shared" si="4"/>
        <v>4.3499999999999996</v>
      </c>
      <c r="L61" s="21">
        <f>MEDIAN(K2:K51)</f>
        <v>1.3</v>
      </c>
      <c r="O61" s="22" t="s">
        <v>10</v>
      </c>
      <c r="P61" s="24">
        <f>MEDIAN(O2:O51)</f>
        <v>6.5</v>
      </c>
      <c r="Q61" s="21">
        <f t="shared" ref="Q61:R61" si="5">MEDIAN(P2:P51)</f>
        <v>3</v>
      </c>
      <c r="R61" s="21">
        <f t="shared" si="5"/>
        <v>5.55</v>
      </c>
      <c r="S61" s="21">
        <f>MEDIAN(R2:R51)</f>
        <v>2</v>
      </c>
    </row>
    <row r="62" spans="1:19" x14ac:dyDescent="0.2">
      <c r="A62" s="22" t="s">
        <v>11</v>
      </c>
      <c r="B62" s="22">
        <f>_xlfn.MODE.SNGL(A2:A51)</f>
        <v>5.0999999999999996</v>
      </c>
      <c r="C62" s="22">
        <f t="shared" ref="C62:E62" si="6">_xlfn.MODE.SNGL(B2:B51)</f>
        <v>3.4</v>
      </c>
      <c r="D62" s="22">
        <f t="shared" si="6"/>
        <v>1.4</v>
      </c>
      <c r="E62" s="22">
        <f t="shared" si="6"/>
        <v>0.2</v>
      </c>
      <c r="H62" s="22" t="s">
        <v>11</v>
      </c>
      <c r="I62" s="22">
        <f>_xlfn.MODE.SNGL(H2:H51)</f>
        <v>5.5</v>
      </c>
      <c r="J62" s="22">
        <f t="shared" ref="J62:L62" si="7">_xlfn.MODE.SNGL(I2:I51)</f>
        <v>3</v>
      </c>
      <c r="K62" s="22">
        <f t="shared" si="7"/>
        <v>4.5</v>
      </c>
      <c r="L62" s="22">
        <f t="shared" si="7"/>
        <v>1.3</v>
      </c>
      <c r="O62" s="22" t="s">
        <v>11</v>
      </c>
      <c r="P62" s="3">
        <f>_xlfn.MODE.SNGL(O2:O51)</f>
        <v>6.3</v>
      </c>
      <c r="Q62" s="22">
        <f t="shared" ref="Q62:S62" si="8">_xlfn.MODE.SNGL(P2:P51)</f>
        <v>3</v>
      </c>
      <c r="R62" s="22">
        <f t="shared" si="8"/>
        <v>5.0999999999999996</v>
      </c>
      <c r="S62" s="22">
        <f t="shared" si="8"/>
        <v>1.8</v>
      </c>
    </row>
    <row r="63" spans="1:19" x14ac:dyDescent="0.2">
      <c r="A63" s="30" t="s">
        <v>12</v>
      </c>
      <c r="B63" s="21">
        <f>MIN(A2:A51)</f>
        <v>4.3</v>
      </c>
      <c r="C63" s="21">
        <f t="shared" ref="C63:E63" si="9">MIN(B2:B51)</f>
        <v>2.2999999999999998</v>
      </c>
      <c r="D63" s="21">
        <f t="shared" si="9"/>
        <v>1</v>
      </c>
      <c r="E63" s="21">
        <f t="shared" si="9"/>
        <v>0.1</v>
      </c>
      <c r="H63" s="30" t="s">
        <v>12</v>
      </c>
      <c r="I63" s="21">
        <f>MIN(H2:H51)</f>
        <v>4.9000000000000004</v>
      </c>
      <c r="J63" s="21">
        <f t="shared" ref="J63:L63" si="10">MIN(I2:I51)</f>
        <v>2</v>
      </c>
      <c r="K63" s="21">
        <f t="shared" si="10"/>
        <v>3</v>
      </c>
      <c r="L63" s="21">
        <f t="shared" si="10"/>
        <v>1</v>
      </c>
      <c r="O63" s="30" t="s">
        <v>12</v>
      </c>
      <c r="P63" s="24">
        <f>MIN(O2:O51)</f>
        <v>4.9000000000000004</v>
      </c>
      <c r="Q63" s="21">
        <f t="shared" ref="Q63:S63" si="11">MIN(P2:P51)</f>
        <v>2.2000000000000002</v>
      </c>
      <c r="R63" s="21">
        <f t="shared" si="11"/>
        <v>4.5</v>
      </c>
      <c r="S63" s="21">
        <f t="shared" si="11"/>
        <v>1.4</v>
      </c>
    </row>
    <row r="64" spans="1:19" x14ac:dyDescent="0.2">
      <c r="A64" s="30" t="s">
        <v>13</v>
      </c>
      <c r="B64" s="21">
        <f>MAX(A2:A51)</f>
        <v>5.8</v>
      </c>
      <c r="C64" s="21">
        <f t="shared" ref="C64:E64" si="12">MAX(B2:B51)</f>
        <v>4.4000000000000004</v>
      </c>
      <c r="D64" s="21">
        <f t="shared" si="12"/>
        <v>1.9</v>
      </c>
      <c r="E64" s="21">
        <f t="shared" si="12"/>
        <v>0.6</v>
      </c>
      <c r="H64" s="30" t="s">
        <v>13</v>
      </c>
      <c r="I64" s="21">
        <f>MAX(H2:H51)</f>
        <v>7</v>
      </c>
      <c r="J64" s="21">
        <f t="shared" ref="J64:L64" si="13">MAX(I2:I51)</f>
        <v>3.4</v>
      </c>
      <c r="K64" s="21">
        <f t="shared" si="13"/>
        <v>5.0999999999999996</v>
      </c>
      <c r="L64" s="21">
        <f t="shared" si="13"/>
        <v>1.8</v>
      </c>
      <c r="O64" s="30" t="s">
        <v>13</v>
      </c>
      <c r="P64" s="24">
        <f>MAX(O2:O51)</f>
        <v>7.9</v>
      </c>
      <c r="Q64" s="21">
        <f t="shared" ref="Q64:S64" si="14">MAX(P2:P51)</f>
        <v>3.8</v>
      </c>
      <c r="R64" s="21">
        <f t="shared" si="14"/>
        <v>6.9</v>
      </c>
      <c r="S64" s="21">
        <f t="shared" si="14"/>
        <v>2.5</v>
      </c>
    </row>
    <row r="65" spans="1:19" x14ac:dyDescent="0.2">
      <c r="A65" s="31" t="s">
        <v>14</v>
      </c>
      <c r="B65" s="4">
        <f>_xlfn.STDEV.S(A2:A51)</f>
        <v>0.3524896872134512</v>
      </c>
      <c r="C65" s="4">
        <f t="shared" ref="C65:E65" si="15">_xlfn.STDEV.S(B2:B51)</f>
        <v>0.37906436909629143</v>
      </c>
      <c r="D65" s="4">
        <f t="shared" si="15"/>
        <v>0.17366399648018002</v>
      </c>
      <c r="E65" s="4">
        <f t="shared" si="15"/>
        <v>0.10538558938004595</v>
      </c>
      <c r="H65" s="31" t="s">
        <v>14</v>
      </c>
      <c r="I65" s="4">
        <f>_xlfn.STDEV.S(H2:H51)</f>
        <v>0.51617114706386347</v>
      </c>
      <c r="J65" s="4">
        <f t="shared" ref="J65:L65" si="16">_xlfn.STDEV.S(I2:I51)</f>
        <v>0.31379832337840918</v>
      </c>
      <c r="K65" s="4">
        <f t="shared" si="16"/>
        <v>0.46991097723996639</v>
      </c>
      <c r="L65" s="4">
        <f t="shared" si="16"/>
        <v>0.19775268000454274</v>
      </c>
      <c r="O65" s="31" t="s">
        <v>14</v>
      </c>
      <c r="P65" s="15">
        <f>_xlfn.STDEV.S(O2:O51)</f>
        <v>0.635879593274432</v>
      </c>
      <c r="Q65" s="4">
        <f t="shared" ref="Q65:S65" si="17">_xlfn.STDEV.S(P2:P51)</f>
        <v>0.32249663817263963</v>
      </c>
      <c r="R65" s="4">
        <f t="shared" si="17"/>
        <v>0.55189469566398353</v>
      </c>
      <c r="S65" s="4">
        <f t="shared" si="17"/>
        <v>0.27465005563666967</v>
      </c>
    </row>
    <row r="66" spans="1:19" x14ac:dyDescent="0.2">
      <c r="A66" s="1"/>
      <c r="B66" s="1"/>
      <c r="C66" s="1"/>
      <c r="D66" s="1"/>
      <c r="E66" s="1"/>
    </row>
    <row r="67" spans="1:19" x14ac:dyDescent="0.2">
      <c r="A67" s="1"/>
      <c r="B67" s="1"/>
      <c r="C67" s="1"/>
      <c r="D67" s="1"/>
      <c r="E67" s="1"/>
    </row>
    <row r="68" spans="1:19" x14ac:dyDescent="0.2">
      <c r="A68" s="1"/>
      <c r="B68" s="1"/>
      <c r="C68" s="1"/>
      <c r="D68" s="1"/>
      <c r="E68" s="1"/>
    </row>
    <row r="69" spans="1:19" x14ac:dyDescent="0.2">
      <c r="A69" s="1"/>
      <c r="B69" s="1"/>
      <c r="C69" s="1"/>
      <c r="D69" s="1"/>
      <c r="E69" s="1"/>
    </row>
    <row r="70" spans="1:19" x14ac:dyDescent="0.2">
      <c r="A70" s="1"/>
      <c r="B70" s="1"/>
      <c r="C70" s="1"/>
      <c r="D70" s="1"/>
      <c r="E70" s="1"/>
    </row>
    <row r="71" spans="1:19" x14ac:dyDescent="0.2">
      <c r="A71" s="1"/>
      <c r="B71" s="1"/>
      <c r="C71" s="1"/>
      <c r="D71" s="1"/>
      <c r="E71" s="1"/>
    </row>
    <row r="72" spans="1:19" x14ac:dyDescent="0.2">
      <c r="A72" s="1"/>
      <c r="B72" s="1"/>
      <c r="C72" s="1"/>
      <c r="D72" s="1"/>
      <c r="E72" s="1"/>
    </row>
    <row r="73" spans="1:19" x14ac:dyDescent="0.2">
      <c r="A73" s="1"/>
      <c r="B73" s="1"/>
      <c r="C73" s="1"/>
      <c r="D73" s="1"/>
      <c r="E73" s="1"/>
    </row>
    <row r="74" spans="1:19" x14ac:dyDescent="0.2">
      <c r="A74" s="1"/>
      <c r="B74" s="1"/>
      <c r="C74" s="1"/>
      <c r="D74" s="1"/>
      <c r="E74" s="1"/>
    </row>
    <row r="75" spans="1:19" x14ac:dyDescent="0.2">
      <c r="A75" s="1"/>
      <c r="B75" s="1"/>
      <c r="C75" s="1"/>
      <c r="D75" s="1"/>
      <c r="E75" s="1"/>
    </row>
    <row r="76" spans="1:19" x14ac:dyDescent="0.2">
      <c r="A76" s="1"/>
      <c r="B76" s="1"/>
      <c r="C76" s="1"/>
      <c r="D76" s="1"/>
      <c r="E76" s="1"/>
    </row>
    <row r="77" spans="1:19" x14ac:dyDescent="0.2">
      <c r="A77" s="1"/>
      <c r="B77" s="1"/>
      <c r="C77" s="1"/>
      <c r="D77" s="1"/>
      <c r="E77" s="1"/>
    </row>
    <row r="78" spans="1:19" x14ac:dyDescent="0.2">
      <c r="A78" s="1"/>
      <c r="B78" s="1"/>
      <c r="C78" s="1"/>
      <c r="D78" s="1"/>
      <c r="E78" s="1"/>
    </row>
    <row r="79" spans="1:19" x14ac:dyDescent="0.2">
      <c r="A79" s="1"/>
      <c r="B79" s="1"/>
      <c r="C79" s="1"/>
      <c r="D79" s="1"/>
      <c r="E79" s="1"/>
    </row>
    <row r="80" spans="1:19" x14ac:dyDescent="0.2">
      <c r="A80" s="1"/>
      <c r="B80" s="1"/>
      <c r="C80" s="1"/>
      <c r="D80" s="1"/>
      <c r="E80" s="1"/>
    </row>
    <row r="81" spans="1:5" x14ac:dyDescent="0.2">
      <c r="A81" s="1"/>
      <c r="B81" s="1"/>
      <c r="C81" s="1"/>
      <c r="D81" s="1"/>
      <c r="E81" s="1"/>
    </row>
    <row r="82" spans="1:5" x14ac:dyDescent="0.2">
      <c r="A82" s="1"/>
      <c r="B82" s="1"/>
      <c r="C82" s="1"/>
      <c r="D82" s="1"/>
      <c r="E82" s="1"/>
    </row>
    <row r="83" spans="1:5" x14ac:dyDescent="0.2">
      <c r="A83" s="1"/>
      <c r="B83" s="1"/>
      <c r="C83" s="1"/>
      <c r="D83" s="1"/>
      <c r="E83" s="1"/>
    </row>
    <row r="84" spans="1:5" x14ac:dyDescent="0.2">
      <c r="A84" s="1"/>
      <c r="B84" s="1"/>
      <c r="C84" s="1"/>
      <c r="D84" s="1"/>
      <c r="E84" s="1"/>
    </row>
    <row r="85" spans="1:5" x14ac:dyDescent="0.2">
      <c r="A85" s="1"/>
      <c r="B85" s="1"/>
      <c r="C85" s="1"/>
      <c r="D85" s="1"/>
      <c r="E85" s="1"/>
    </row>
    <row r="86" spans="1:5" x14ac:dyDescent="0.2">
      <c r="A86" s="1"/>
      <c r="B86" s="1"/>
      <c r="C86" s="1"/>
      <c r="D86" s="1"/>
      <c r="E86" s="1"/>
    </row>
    <row r="87" spans="1:5" x14ac:dyDescent="0.2">
      <c r="A87" s="1"/>
      <c r="B87" s="1"/>
      <c r="C87" s="1"/>
      <c r="D87" s="1"/>
      <c r="E87" s="1"/>
    </row>
    <row r="88" spans="1:5" x14ac:dyDescent="0.2">
      <c r="A88" s="1"/>
      <c r="B88" s="1"/>
      <c r="C88" s="1"/>
      <c r="D88" s="1"/>
      <c r="E88" s="1"/>
    </row>
    <row r="89" spans="1:5" x14ac:dyDescent="0.2">
      <c r="A89" s="1"/>
      <c r="B89" s="1"/>
      <c r="C89" s="1"/>
      <c r="D89" s="1"/>
      <c r="E89" s="1"/>
    </row>
    <row r="90" spans="1:5" x14ac:dyDescent="0.2">
      <c r="A90" s="1"/>
      <c r="B90" s="1"/>
      <c r="C90" s="1"/>
      <c r="D90" s="1"/>
      <c r="E90" s="1"/>
    </row>
    <row r="91" spans="1:5" x14ac:dyDescent="0.2">
      <c r="A91" s="1"/>
      <c r="B91" s="1"/>
      <c r="C91" s="1"/>
      <c r="D91" s="1"/>
      <c r="E91" s="1"/>
    </row>
    <row r="92" spans="1:5" x14ac:dyDescent="0.2">
      <c r="A92" s="1"/>
      <c r="B92" s="1"/>
      <c r="C92" s="1"/>
      <c r="D92" s="1"/>
      <c r="E92" s="1"/>
    </row>
    <row r="93" spans="1:5" x14ac:dyDescent="0.2">
      <c r="A93" s="1"/>
      <c r="B93" s="1"/>
      <c r="C93" s="1"/>
      <c r="D93" s="1"/>
      <c r="E93" s="1"/>
    </row>
    <row r="94" spans="1:5" x14ac:dyDescent="0.2">
      <c r="A94" s="1"/>
      <c r="B94" s="1"/>
      <c r="C94" s="1"/>
      <c r="D94" s="1"/>
      <c r="E94" s="1"/>
    </row>
    <row r="95" spans="1:5" x14ac:dyDescent="0.2">
      <c r="A95" s="1"/>
      <c r="B95" s="1"/>
      <c r="C95" s="1"/>
      <c r="D95" s="1"/>
      <c r="E95" s="1"/>
    </row>
    <row r="96" spans="1:5" x14ac:dyDescent="0.2">
      <c r="A96" s="1"/>
      <c r="B96" s="1"/>
      <c r="C96" s="1"/>
      <c r="D96" s="1"/>
      <c r="E96" s="1"/>
    </row>
    <row r="97" spans="1:5" x14ac:dyDescent="0.2">
      <c r="A97" s="1"/>
      <c r="B97" s="1"/>
      <c r="C97" s="1"/>
      <c r="D97" s="1"/>
      <c r="E97" s="1"/>
    </row>
    <row r="98" spans="1:5" x14ac:dyDescent="0.2">
      <c r="A98" s="1"/>
      <c r="B98" s="1"/>
      <c r="C98" s="1"/>
      <c r="D98" s="1"/>
      <c r="E98" s="1"/>
    </row>
    <row r="99" spans="1:5" x14ac:dyDescent="0.2">
      <c r="A99" s="1"/>
      <c r="B99" s="1"/>
      <c r="C99" s="1"/>
      <c r="D99" s="1"/>
      <c r="E99" s="1"/>
    </row>
    <row r="100" spans="1:5" x14ac:dyDescent="0.2">
      <c r="A100" s="1"/>
      <c r="B100" s="1"/>
      <c r="C100" s="1"/>
      <c r="D100" s="1"/>
      <c r="E100" s="1"/>
    </row>
    <row r="101" spans="1:5" x14ac:dyDescent="0.2">
      <c r="A101" s="1"/>
      <c r="B101" s="1"/>
      <c r="C101" s="1"/>
      <c r="D101" s="1"/>
      <c r="E101" s="1"/>
    </row>
    <row r="102" spans="1:5" x14ac:dyDescent="0.2">
      <c r="A102" s="1"/>
      <c r="B102" s="1"/>
      <c r="C102" s="1"/>
      <c r="D102" s="1"/>
      <c r="E102" s="1"/>
    </row>
    <row r="103" spans="1:5" x14ac:dyDescent="0.2">
      <c r="A103" s="1"/>
      <c r="B103" s="1"/>
      <c r="C103" s="1"/>
      <c r="D103" s="1"/>
      <c r="E103" s="1"/>
    </row>
    <row r="104" spans="1:5" x14ac:dyDescent="0.2">
      <c r="A104" s="1"/>
      <c r="B104" s="1"/>
      <c r="C104" s="1"/>
      <c r="D104" s="1"/>
      <c r="E104" s="1"/>
    </row>
    <row r="105" spans="1:5" x14ac:dyDescent="0.2">
      <c r="A105" s="1"/>
      <c r="B105" s="1"/>
      <c r="C105" s="1"/>
      <c r="D105" s="1"/>
      <c r="E105" s="1"/>
    </row>
    <row r="106" spans="1:5" x14ac:dyDescent="0.2">
      <c r="A106" s="1"/>
      <c r="B106" s="1"/>
      <c r="C106" s="1"/>
      <c r="D106" s="1"/>
      <c r="E106" s="1"/>
    </row>
    <row r="107" spans="1:5" x14ac:dyDescent="0.2">
      <c r="A107" s="1"/>
      <c r="B107" s="1"/>
      <c r="C107" s="1"/>
      <c r="D107" s="1"/>
      <c r="E107" s="1"/>
    </row>
    <row r="108" spans="1:5" x14ac:dyDescent="0.2">
      <c r="A108" s="1"/>
      <c r="B108" s="1"/>
      <c r="C108" s="1"/>
      <c r="D108" s="1"/>
      <c r="E108" s="1"/>
    </row>
    <row r="109" spans="1:5" x14ac:dyDescent="0.2">
      <c r="A109" s="1"/>
      <c r="B109" s="1"/>
      <c r="C109" s="1"/>
      <c r="D109" s="1"/>
      <c r="E109" s="1"/>
    </row>
    <row r="110" spans="1:5" x14ac:dyDescent="0.2">
      <c r="A110" s="1"/>
      <c r="B110" s="1"/>
      <c r="C110" s="1"/>
      <c r="D110" s="1"/>
      <c r="E110" s="1"/>
    </row>
    <row r="111" spans="1:5" x14ac:dyDescent="0.2">
      <c r="A111" s="1"/>
      <c r="B111" s="1"/>
      <c r="C111" s="1"/>
      <c r="D111" s="1"/>
      <c r="E111" s="1"/>
    </row>
    <row r="112" spans="1:5" x14ac:dyDescent="0.2">
      <c r="A112" s="1"/>
      <c r="B112" s="1"/>
      <c r="C112" s="1"/>
      <c r="D112" s="1"/>
      <c r="E112" s="1"/>
    </row>
    <row r="113" spans="1:5" x14ac:dyDescent="0.2">
      <c r="A113" s="1"/>
      <c r="B113" s="1"/>
      <c r="C113" s="1"/>
      <c r="D113" s="1"/>
      <c r="E113" s="1"/>
    </row>
    <row r="114" spans="1:5" x14ac:dyDescent="0.2">
      <c r="A114" s="1"/>
      <c r="B114" s="1"/>
      <c r="C114" s="1"/>
      <c r="D114" s="1"/>
      <c r="E114" s="1"/>
    </row>
    <row r="115" spans="1:5" x14ac:dyDescent="0.2">
      <c r="A115" s="1"/>
      <c r="B115" s="1"/>
      <c r="C115" s="1"/>
      <c r="D115" s="1"/>
      <c r="E115" s="1"/>
    </row>
    <row r="116" spans="1:5" x14ac:dyDescent="0.2">
      <c r="A116" s="1"/>
      <c r="B116" s="1"/>
      <c r="C116" s="1"/>
      <c r="D116" s="1"/>
      <c r="E116" s="1"/>
    </row>
    <row r="117" spans="1:5" x14ac:dyDescent="0.2">
      <c r="A117" s="1"/>
      <c r="B117" s="1"/>
      <c r="C117" s="1"/>
      <c r="D117" s="1"/>
      <c r="E117" s="1"/>
    </row>
    <row r="118" spans="1:5" x14ac:dyDescent="0.2">
      <c r="A118" s="1"/>
      <c r="B118" s="1"/>
      <c r="C118" s="1"/>
      <c r="D118" s="1"/>
      <c r="E118" s="1"/>
    </row>
    <row r="119" spans="1:5" x14ac:dyDescent="0.2">
      <c r="A119" s="1"/>
      <c r="B119" s="1"/>
      <c r="C119" s="1"/>
      <c r="D119" s="1"/>
      <c r="E119" s="1"/>
    </row>
    <row r="120" spans="1:5" x14ac:dyDescent="0.2">
      <c r="A120" s="1"/>
      <c r="B120" s="1"/>
      <c r="C120" s="1"/>
      <c r="D120" s="1"/>
      <c r="E120" s="1"/>
    </row>
    <row r="121" spans="1:5" x14ac:dyDescent="0.2">
      <c r="A121" s="1"/>
      <c r="B121" s="1"/>
      <c r="C121" s="1"/>
      <c r="D121" s="1"/>
      <c r="E121" s="1"/>
    </row>
    <row r="122" spans="1:5" x14ac:dyDescent="0.2">
      <c r="A122" s="1"/>
      <c r="B122" s="1"/>
      <c r="C122" s="1"/>
      <c r="D122" s="1"/>
      <c r="E122" s="1"/>
    </row>
    <row r="123" spans="1:5" x14ac:dyDescent="0.2">
      <c r="A123" s="1"/>
      <c r="B123" s="1"/>
      <c r="C123" s="1"/>
      <c r="D123" s="1"/>
      <c r="E123" s="1"/>
    </row>
    <row r="124" spans="1:5" x14ac:dyDescent="0.2">
      <c r="A124" s="1"/>
      <c r="B124" s="1"/>
      <c r="C124" s="1"/>
      <c r="D124" s="1"/>
      <c r="E124" s="1"/>
    </row>
    <row r="125" spans="1:5" x14ac:dyDescent="0.2">
      <c r="A125" s="1"/>
      <c r="B125" s="1"/>
      <c r="C125" s="1"/>
      <c r="D125" s="1"/>
      <c r="E125" s="1"/>
    </row>
    <row r="126" spans="1:5" x14ac:dyDescent="0.2">
      <c r="A126" s="1"/>
      <c r="B126" s="1"/>
      <c r="C126" s="1"/>
      <c r="D126" s="1"/>
      <c r="E126" s="1"/>
    </row>
    <row r="127" spans="1:5" x14ac:dyDescent="0.2">
      <c r="A127" s="1"/>
      <c r="B127" s="1"/>
      <c r="C127" s="1"/>
      <c r="D127" s="1"/>
      <c r="E127" s="1"/>
    </row>
    <row r="128" spans="1:5" x14ac:dyDescent="0.2">
      <c r="A128" s="1"/>
      <c r="B128" s="1"/>
      <c r="C128" s="1"/>
      <c r="D128" s="1"/>
      <c r="E128" s="1"/>
    </row>
    <row r="129" spans="1:5" x14ac:dyDescent="0.2">
      <c r="A129" s="1"/>
      <c r="B129" s="1"/>
      <c r="C129" s="1"/>
      <c r="D129" s="1"/>
      <c r="E129" s="1"/>
    </row>
    <row r="130" spans="1:5" x14ac:dyDescent="0.2">
      <c r="A130" s="1"/>
      <c r="B130" s="1"/>
      <c r="C130" s="1"/>
      <c r="D130" s="1"/>
      <c r="E130" s="1"/>
    </row>
    <row r="131" spans="1:5" x14ac:dyDescent="0.2">
      <c r="A131" s="1"/>
      <c r="B131" s="1"/>
      <c r="C131" s="1"/>
      <c r="D131" s="1"/>
      <c r="E131" s="1"/>
    </row>
    <row r="132" spans="1:5" x14ac:dyDescent="0.2">
      <c r="A132" s="1"/>
      <c r="B132" s="1"/>
      <c r="C132" s="1"/>
      <c r="D132" s="1"/>
      <c r="E132" s="1"/>
    </row>
    <row r="133" spans="1:5" x14ac:dyDescent="0.2">
      <c r="A133" s="1"/>
      <c r="B133" s="1"/>
      <c r="C133" s="1"/>
      <c r="D133" s="1"/>
      <c r="E133" s="1"/>
    </row>
    <row r="134" spans="1:5" x14ac:dyDescent="0.2">
      <c r="A134" s="1"/>
      <c r="B134" s="1"/>
      <c r="C134" s="1"/>
      <c r="D134" s="1"/>
      <c r="E134" s="1"/>
    </row>
    <row r="135" spans="1:5" x14ac:dyDescent="0.2">
      <c r="A135" s="1"/>
      <c r="B135" s="1"/>
      <c r="C135" s="1"/>
      <c r="D135" s="1"/>
      <c r="E135" s="1"/>
    </row>
    <row r="136" spans="1:5" x14ac:dyDescent="0.2">
      <c r="A136" s="1"/>
      <c r="B136" s="1"/>
      <c r="C136" s="1"/>
      <c r="D136" s="1"/>
      <c r="E136" s="1"/>
    </row>
    <row r="137" spans="1:5" x14ac:dyDescent="0.2">
      <c r="A137" s="1"/>
      <c r="B137" s="1"/>
      <c r="C137" s="1"/>
      <c r="D137" s="1"/>
      <c r="E137" s="1"/>
    </row>
    <row r="138" spans="1:5" x14ac:dyDescent="0.2">
      <c r="A138" s="1"/>
      <c r="B138" s="1"/>
      <c r="C138" s="1"/>
      <c r="D138" s="1"/>
      <c r="E138" s="1"/>
    </row>
    <row r="139" spans="1:5" x14ac:dyDescent="0.2">
      <c r="A139" s="1"/>
      <c r="B139" s="1"/>
      <c r="C139" s="1"/>
      <c r="D139" s="1"/>
      <c r="E139" s="1"/>
    </row>
    <row r="140" spans="1:5" x14ac:dyDescent="0.2">
      <c r="A140" s="1"/>
      <c r="B140" s="1"/>
      <c r="C140" s="1"/>
      <c r="D140" s="1"/>
      <c r="E140" s="1"/>
    </row>
    <row r="141" spans="1:5" x14ac:dyDescent="0.2">
      <c r="A141" s="1"/>
      <c r="B141" s="1"/>
      <c r="C141" s="1"/>
      <c r="D141" s="1"/>
      <c r="E141" s="1"/>
    </row>
    <row r="142" spans="1:5" x14ac:dyDescent="0.2">
      <c r="A142" s="1"/>
      <c r="B142" s="1"/>
      <c r="C142" s="1"/>
      <c r="D142" s="1"/>
      <c r="E142" s="1"/>
    </row>
    <row r="143" spans="1:5" x14ac:dyDescent="0.2">
      <c r="A143" s="1"/>
      <c r="B143" s="1"/>
      <c r="C143" s="1"/>
      <c r="D143" s="1"/>
      <c r="E143" s="1"/>
    </row>
    <row r="144" spans="1:5" x14ac:dyDescent="0.2">
      <c r="A144" s="1"/>
      <c r="B144" s="1"/>
      <c r="C144" s="1"/>
      <c r="D144" s="1"/>
      <c r="E144" s="1"/>
    </row>
    <row r="145" spans="1:5" x14ac:dyDescent="0.2">
      <c r="A145" s="1"/>
      <c r="B145" s="1"/>
      <c r="C145" s="1"/>
      <c r="D145" s="1"/>
      <c r="E145" s="1"/>
    </row>
    <row r="146" spans="1:5" x14ac:dyDescent="0.2">
      <c r="A146" s="1"/>
      <c r="B146" s="1"/>
      <c r="C146" s="1"/>
      <c r="D146" s="1"/>
      <c r="E146" s="1"/>
    </row>
    <row r="147" spans="1:5" x14ac:dyDescent="0.2">
      <c r="A147" s="1"/>
      <c r="B147" s="1"/>
      <c r="C147" s="1"/>
      <c r="D147" s="1"/>
      <c r="E147" s="1"/>
    </row>
    <row r="148" spans="1:5" x14ac:dyDescent="0.2">
      <c r="A148" s="1"/>
      <c r="B148" s="1"/>
      <c r="C148" s="1"/>
      <c r="D148" s="1"/>
      <c r="E148" s="1"/>
    </row>
    <row r="149" spans="1:5" x14ac:dyDescent="0.2">
      <c r="A149" s="1"/>
      <c r="B149" s="1"/>
      <c r="C149" s="1"/>
      <c r="D149" s="1"/>
      <c r="E149" s="1"/>
    </row>
    <row r="150" spans="1:5" x14ac:dyDescent="0.2">
      <c r="A150" s="1"/>
      <c r="B150" s="1"/>
      <c r="C150" s="1"/>
      <c r="D150" s="1"/>
      <c r="E150" s="1"/>
    </row>
    <row r="151" spans="1:5" x14ac:dyDescent="0.2">
      <c r="A151" s="1"/>
      <c r="B151" s="1"/>
      <c r="C151" s="1"/>
      <c r="D151" s="1"/>
      <c r="E151" s="1"/>
    </row>
    <row r="152" spans="1:5" x14ac:dyDescent="0.2">
      <c r="A152" s="1"/>
      <c r="B152" s="1"/>
      <c r="C152" s="1"/>
      <c r="D152" s="1"/>
      <c r="E152" s="1"/>
    </row>
    <row r="153" spans="1:5" x14ac:dyDescent="0.2">
      <c r="A153" s="4"/>
      <c r="B153" s="4"/>
      <c r="C153" s="4"/>
      <c r="D153" s="4"/>
      <c r="E153" s="4"/>
    </row>
  </sheetData>
  <mergeCells count="3">
    <mergeCell ref="A54:E58"/>
    <mergeCell ref="H54:L58"/>
    <mergeCell ref="O54:S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Tristan Lapasanda</cp:lastModifiedBy>
  <cp:revision/>
  <dcterms:created xsi:type="dcterms:W3CDTF">2026-01-02T17:37:32Z</dcterms:created>
  <dcterms:modified xsi:type="dcterms:W3CDTF">2026-01-02T18:27:01Z</dcterms:modified>
  <cp:category/>
  <cp:contentStatus/>
</cp:coreProperties>
</file>